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 S P I R E 7\OneDrive - University of Bradford\Desktop\Group work evidence\For PID\Project Management\"/>
    </mc:Choice>
  </mc:AlternateContent>
  <bookViews>
    <workbookView xWindow="0" yWindow="0" windowWidth="15420" windowHeight="6372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AD42" i="1" l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</calcChain>
</file>

<file path=xl/sharedStrings.xml><?xml version="1.0" encoding="utf-8"?>
<sst xmlns="http://schemas.openxmlformats.org/spreadsheetml/2006/main" count="99" uniqueCount="74">
  <si>
    <t>AI for Environmental Monitoring &amp; Urban Planning - Project Gantt Chart</t>
  </si>
  <si>
    <t>Project Start: 17 Oct 2025</t>
  </si>
  <si>
    <t>Project End: 17 Apr 2026</t>
  </si>
  <si>
    <t>Team: Sabal Nemkul | Thathsara Abesooriya | Syed Bokhari</t>
  </si>
  <si>
    <t>SPRINT / TASK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</si>
  <si>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</si>
  <si>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</si>
  <si>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</si>
  <si>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</si>
  <si>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</si>
  <si>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</si>
  <si>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</si>
  <si>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</si>
  <si>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</si>
  <si>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</si>
  <si>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</si>
  <si>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</si>
  <si>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</si>
  <si>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</si>
  <si>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</si>
  <si>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</si>
  <si>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</si>
  <si>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</si>
  <si>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</si>
  <si>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</si>
  <si>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</si>
  <si>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</si>
  <si>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</si>
  <si>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</si>
  <si>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</si>
  <si>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</si>
  <si>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</si>
  <si>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</si>
  <si>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</si>
  <si>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◆ SPRINT 0 — INITIATION &amp; PLANNING (17 Oct – 21 Nov 2025)</t>
  </si>
  <si>
    <t>Create Mind Map</t>
  </si>
  <si>
    <t>Sabal</t>
  </si>
  <si>
    <t>Produce OKR Table</t>
  </si>
  <si>
    <t>Syed Bokhari</t>
  </si>
  <si>
    <t>Draft Project Charter</t>
  </si>
  <si>
    <t>Thathsara</t>
  </si>
  <si>
    <t>Complete Risk Assessment</t>
  </si>
  <si>
    <t>Create Communication Plan</t>
  </si>
  <si>
    <t>Produce Ishikawa Diagram</t>
  </si>
  <si>
    <t>◆ SPRINT 1 — RESEARCH &amp; DESIGN (26 Nov – 14 Jan 2026)</t>
  </si>
  <si>
    <t>Research Dashboard Design</t>
  </si>
  <si>
    <t>Research Anomaly Visualisation</t>
  </si>
  <si>
    <t>Research GIS Layers &amp; Mapping</t>
  </si>
  <si>
    <t>Produce Dashboard Wireframes</t>
  </si>
  <si>
    <t>Create Use Case Diagrams</t>
  </si>
  <si>
    <t>Create Activity Diagrams</t>
  </si>
  <si>
    <t>◆ SPRINT 2 — PROTOTYPE DEVELOPMENT (16 Jan – 06 Mar 2026)</t>
  </si>
  <si>
    <t>Explore Datasets</t>
  </si>
  <si>
    <t>Test CV Model Options</t>
  </si>
  <si>
    <t>Begin Dashboard Layout Prototype</t>
  </si>
  <si>
    <t>Define Integration Requirements</t>
  </si>
  <si>
    <t>Prepare Data Pipeline Outline</t>
  </si>
  <si>
    <t>◆ SPRINT 3 — EVALUATION &amp; REFINEMENT (08 Mar – 10 Apr 2026)</t>
  </si>
  <si>
    <t>Refine Anomaly Visualisation</t>
  </si>
  <si>
    <t>Improve Dashboard Interactions</t>
  </si>
  <si>
    <t>Improve Detection Details Panel</t>
  </si>
  <si>
    <t>Integrate &amp; Refine Heatmap Overlay</t>
  </si>
  <si>
    <t>Prepare Summary Report Logic</t>
  </si>
  <si>
    <t>◆ SPRINT 4 — FINALISATION &amp; REPORTING (10 Apr – 17 Apr 2026)</t>
  </si>
  <si>
    <t>Finalise Summary Report Output</t>
  </si>
  <si>
    <t>Finalise Wireframes for Appendix</t>
  </si>
  <si>
    <t>Finalise Use Case Diagrams</t>
  </si>
  <si>
    <t>Finalise Activity Diagrams</t>
  </si>
  <si>
    <t>Write Final Report</t>
  </si>
  <si>
    <t>Prepare Group Poster</t>
  </si>
  <si>
    <t>Prepare Presentation Slides</t>
  </si>
  <si>
    <t>Sabal &amp; Thathsara</t>
  </si>
  <si>
    <t>◆ SUBMISSION DEADLINE</t>
  </si>
  <si>
    <t>◆ EXHIBITION / DEMO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</si>
</sst>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"/>
    <numFmt numFmtId="165" formatCode="d\-mmm\-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 tint="-0.249977111117893"/>
        <bgColor rgb="FFFFF2CC"/>
      </patternFill>
    </fill>
    <fill>
      <patternFill patternType="solid">
        <fgColor theme="4" tint="-0.249977111117893"/>
        <bgColor rgb="FFFFF2CC"/>
      </patternFill>
    </fill>
    <fill>
      <patternFill patternType="solid">
        <fgColor theme="7" tint="0.59999389629810485"/>
        <b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164" fontId="2" fillId="2" borderId="0" xfId="0" applyNumberFormat="1" applyFont="1" applyFill="1" applyAlignment="1"/>
    <xf numFmtId="16" fontId="2" fillId="2" borderId="0" xfId="0" applyNumberFormat="1" applyFont="1" applyFill="1" applyAlignment="1"/>
    <xf numFmtId="0" fontId="2" fillId="3" borderId="0" xfId="0" applyFont="1" applyFill="1" applyAlignment="1"/>
    <xf numFmtId="0" fontId="2" fillId="3" borderId="0" xfId="0" applyFont="1" applyFill="1"/>
    <xf numFmtId="165" fontId="2" fillId="3" borderId="0" xfId="0" applyNumberFormat="1" applyFont="1" applyFill="1" applyAlignment="1"/>
    <xf numFmtId="15" fontId="2" fillId="3" borderId="0" xfId="0" applyNumberFormat="1" applyFont="1" applyFill="1" applyAlignment="1"/>
    <xf numFmtId="0" fontId="2" fillId="4" borderId="0" xfId="0" applyFont="1" applyFill="1" applyAlignment="1"/>
    <xf numFmtId="0" fontId="2" fillId="4" borderId="0" xfId="0" applyFont="1" applyFill="1"/>
    <xf numFmtId="165" fontId="2" fillId="4" borderId="0" xfId="0" applyNumberFormat="1" applyFont="1" applyFill="1" applyAlignment="1"/>
    <xf numFmtId="15" fontId="2" fillId="4" borderId="0" xfId="0" applyNumberFormat="1" applyFont="1" applyFill="1" applyAlignment="1"/>
    <xf numFmtId="0" fontId="2" fillId="5" borderId="0" xfId="0" applyFont="1" applyFill="1" applyAlignment="1"/>
    <xf numFmtId="0" fontId="2" fillId="5" borderId="0" xfId="0" applyFont="1" applyFill="1"/>
    <xf numFmtId="165" fontId="2" fillId="5" borderId="0" xfId="0" applyNumberFormat="1" applyFont="1" applyFill="1" applyAlignment="1"/>
    <xf numFmtId="15" fontId="2" fillId="5" borderId="0" xfId="0" applyNumberFormat="1" applyFont="1" applyFill="1" applyAlignment="1"/>
    <xf numFmtId="0" fontId="2" fillId="6" borderId="0" xfId="0" applyFont="1" applyFill="1" applyAlignment="1"/>
    <xf numFmtId="0" fontId="2" fillId="6" borderId="0" xfId="0" applyFont="1" applyFill="1"/>
    <xf numFmtId="15" fontId="2" fillId="6" borderId="0" xfId="0" applyNumberFormat="1" applyFont="1" applyFill="1" applyAlignment="1"/>
    <xf numFmtId="165" fontId="2" fillId="6" borderId="0" xfId="0" applyNumberFormat="1" applyFont="1" applyFill="1" applyAlignment="1"/>
    <xf numFmtId="0" fontId="2" fillId="7" borderId="0" xfId="0" applyFont="1" applyFill="1" applyAlignment="1"/>
    <xf numFmtId="0" fontId="2" fillId="7" borderId="0" xfId="0" applyFont="1" applyFill="1"/>
    <xf numFmtId="165" fontId="2" fillId="7" borderId="0" xfId="0" applyNumberFormat="1" applyFont="1" applyFill="1" applyAlignment="1"/>
    <xf numFmtId="0" fontId="2" fillId="8" borderId="0" xfId="0" applyFont="1" applyFill="1" applyAlignment="1"/>
    <xf numFmtId="0" fontId="2" fillId="8" borderId="0" xfId="0" applyFont="1" applyFill="1"/>
    <xf numFmtId="165" fontId="2" fillId="8" borderId="0" xfId="0" applyNumberFormat="1" applyFont="1" applyFill="1" applyAlignment="1"/>
    <xf numFmtId="0" fontId="3" fillId="9" borderId="0" xfId="1"/>
    <xf numFmtId="0" fontId="3" fillId="10" borderId="0" xfId="2"/>
    <xf numFmtId="16" fontId="2" fillId="2" borderId="0" xfId="0" applyNumberFormat="1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</cellXfs>
  <cellStyles count="3">
    <cellStyle name="60% - Accent2" xfId="1" builtinId="36"/>
    <cellStyle name="Accent4" xfId="2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42"/>
  <sheetViews>
    <sheetView tabSelected="1" workbookViewId="0">
      <selection activeCell="F14" sqref="F14"/>
    </sheetView>
  </sheetViews>
  <sheetFormatPr defaultColWidth="12.6640625" defaultRowHeight="15.75" customHeight="1" x14ac:dyDescent="0.25"/>
  <sheetData>
    <row r="1" spans="1:30" x14ac:dyDescent="0.25">
      <c r="A1" s="1" t="s">
        <v>0</v>
      </c>
    </row>
    <row r="2" spans="1:30" x14ac:dyDescent="0.25">
      <c r="A2" s="2" t="s">
        <v>1</v>
      </c>
    </row>
    <row r="3" spans="1:30" x14ac:dyDescent="0.25">
      <c r="A3" s="2" t="s">
        <v>2</v>
      </c>
    </row>
    <row r="4" spans="1:30" x14ac:dyDescent="0.25">
      <c r="A4" s="2" t="s">
        <v>3</v>
      </c>
    </row>
    <row r="5" spans="1:30" ht="13.2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spans="1:30" ht="13.2" x14ac:dyDescent="0.25">
      <c r="A6" s="4"/>
      <c r="B6" s="4"/>
      <c r="C6" s="4"/>
      <c r="D6" s="5"/>
      <c r="E6" s="4">
        <v>46312</v>
      </c>
      <c r="F6" s="4">
        <v>46319</v>
      </c>
      <c r="G6" s="4">
        <v>46326</v>
      </c>
      <c r="H6" s="5">
        <v>46333</v>
      </c>
      <c r="I6" s="4">
        <v>46347</v>
      </c>
      <c r="J6" s="4">
        <v>46354</v>
      </c>
      <c r="K6" s="4">
        <v>46361</v>
      </c>
      <c r="L6" s="5">
        <v>46368</v>
      </c>
      <c r="M6" s="5">
        <v>46375</v>
      </c>
      <c r="N6" s="4">
        <v>46382</v>
      </c>
      <c r="O6" s="4">
        <v>46024</v>
      </c>
      <c r="P6" s="4">
        <v>46031</v>
      </c>
      <c r="Q6" s="5">
        <v>46038</v>
      </c>
      <c r="R6" s="4">
        <v>46045</v>
      </c>
      <c r="S6" s="4">
        <v>46052</v>
      </c>
      <c r="T6" s="4">
        <v>46059</v>
      </c>
      <c r="U6" s="5">
        <v>46066</v>
      </c>
      <c r="V6" s="4">
        <v>46073</v>
      </c>
      <c r="W6" s="4">
        <v>46080</v>
      </c>
      <c r="X6" s="4">
        <v>46087</v>
      </c>
      <c r="Y6" s="5">
        <v>46094</v>
      </c>
      <c r="Z6" s="4">
        <v>46101</v>
      </c>
      <c r="AA6" s="4">
        <v>46108</v>
      </c>
      <c r="AB6" s="30">
        <v>46115</v>
      </c>
      <c r="AC6" s="30">
        <v>46122</v>
      </c>
      <c r="AD6" s="30">
        <v>46129</v>
      </c>
    </row>
    <row r="7" spans="1:30" ht="13.8" x14ac:dyDescent="0.25">
      <c r="A7" s="6" t="s">
        <v>34</v>
      </c>
      <c r="B7" s="7"/>
      <c r="C7" s="8">
        <v>45947</v>
      </c>
      <c r="D7" s="8">
        <v>45982</v>
      </c>
      <c r="E7" s="28"/>
      <c r="F7" s="28"/>
      <c r="G7" s="28"/>
      <c r="H7" s="28"/>
      <c r="I7" s="2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3.8" x14ac:dyDescent="0.25">
      <c r="A8" s="6" t="s">
        <v>35</v>
      </c>
      <c r="B8" s="6" t="s">
        <v>36</v>
      </c>
      <c r="C8" s="8">
        <v>45947</v>
      </c>
      <c r="D8" s="8">
        <v>45954</v>
      </c>
      <c r="E8" s="28"/>
      <c r="F8" s="2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3.8" x14ac:dyDescent="0.25">
      <c r="A9" s="6" t="s">
        <v>37</v>
      </c>
      <c r="B9" s="6" t="s">
        <v>38</v>
      </c>
      <c r="C9" s="8">
        <v>45947</v>
      </c>
      <c r="D9" s="8">
        <v>45954</v>
      </c>
      <c r="E9" s="28"/>
      <c r="F9" s="2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3.8" x14ac:dyDescent="0.25">
      <c r="A10" s="6" t="s">
        <v>39</v>
      </c>
      <c r="B10" s="6" t="s">
        <v>40</v>
      </c>
      <c r="C10" s="8">
        <v>45954</v>
      </c>
      <c r="D10" s="9">
        <v>45968</v>
      </c>
      <c r="E10" s="7"/>
      <c r="F10" s="28"/>
      <c r="G10" s="28"/>
      <c r="H10" s="2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3.8" x14ac:dyDescent="0.25">
      <c r="A11" s="6" t="s">
        <v>41</v>
      </c>
      <c r="B11" s="6" t="s">
        <v>36</v>
      </c>
      <c r="C11" s="8">
        <v>45954</v>
      </c>
      <c r="D11" s="9">
        <v>45968</v>
      </c>
      <c r="E11" s="7"/>
      <c r="F11" s="28"/>
      <c r="G11" s="28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3.8" x14ac:dyDescent="0.25">
      <c r="A12" s="6" t="s">
        <v>42</v>
      </c>
      <c r="B12" s="6" t="s">
        <v>36</v>
      </c>
      <c r="C12" s="9">
        <v>45968</v>
      </c>
      <c r="D12" s="8">
        <v>45975</v>
      </c>
      <c r="E12" s="7"/>
      <c r="F12" s="7"/>
      <c r="G12" s="7"/>
      <c r="H12" s="28"/>
      <c r="I12" s="2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3.8" x14ac:dyDescent="0.25">
      <c r="A13" s="6" t="s">
        <v>43</v>
      </c>
      <c r="B13" s="6" t="s">
        <v>38</v>
      </c>
      <c r="C13" s="9">
        <v>45968</v>
      </c>
      <c r="D13" s="8">
        <v>45982</v>
      </c>
      <c r="E13" s="7"/>
      <c r="F13" s="7"/>
      <c r="G13" s="7"/>
      <c r="H13" s="28"/>
      <c r="I13" s="2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3.8" x14ac:dyDescent="0.25">
      <c r="A14" s="10" t="s">
        <v>44</v>
      </c>
      <c r="B14" s="11"/>
      <c r="C14" s="12">
        <v>45987</v>
      </c>
      <c r="D14" s="12">
        <v>46036</v>
      </c>
      <c r="E14" s="7"/>
      <c r="F14" s="7"/>
      <c r="G14" s="7"/>
      <c r="H14" s="7"/>
      <c r="I14" s="7"/>
      <c r="J14" s="29"/>
      <c r="K14" s="29"/>
      <c r="L14" s="29"/>
      <c r="M14" s="29"/>
      <c r="N14" s="29"/>
      <c r="O14" s="29"/>
      <c r="P14" s="29"/>
      <c r="Q14" s="2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3.8" x14ac:dyDescent="0.25">
      <c r="A15" s="10" t="s">
        <v>45</v>
      </c>
      <c r="B15" s="10" t="s">
        <v>36</v>
      </c>
      <c r="C15" s="12">
        <v>45987</v>
      </c>
      <c r="D15" s="13">
        <v>45996</v>
      </c>
      <c r="E15" s="7"/>
      <c r="F15" s="7"/>
      <c r="G15" s="7"/>
      <c r="H15" s="7"/>
      <c r="I15" s="7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3.8" x14ac:dyDescent="0.25">
      <c r="A16" s="10" t="s">
        <v>46</v>
      </c>
      <c r="B16" s="10" t="s">
        <v>38</v>
      </c>
      <c r="C16" s="12">
        <v>45987</v>
      </c>
      <c r="D16" s="12">
        <v>46001</v>
      </c>
      <c r="E16" s="7"/>
      <c r="F16" s="7"/>
      <c r="G16" s="7"/>
      <c r="H16" s="7"/>
      <c r="I16" s="7"/>
      <c r="J16" s="29"/>
      <c r="K16" s="29"/>
      <c r="L16" s="2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3.8" x14ac:dyDescent="0.25">
      <c r="A17" s="10" t="s">
        <v>47</v>
      </c>
      <c r="B17" s="10" t="s">
        <v>40</v>
      </c>
      <c r="C17" s="12">
        <v>45987</v>
      </c>
      <c r="D17" s="12">
        <v>46001</v>
      </c>
      <c r="E17" s="7"/>
      <c r="F17" s="7"/>
      <c r="G17" s="7"/>
      <c r="H17" s="7"/>
      <c r="I17" s="7"/>
      <c r="J17" s="29"/>
      <c r="K17" s="29"/>
      <c r="L17" s="2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3.8" x14ac:dyDescent="0.25">
      <c r="A18" s="10" t="s">
        <v>48</v>
      </c>
      <c r="B18" s="10" t="s">
        <v>36</v>
      </c>
      <c r="C18" s="13">
        <v>45996</v>
      </c>
      <c r="D18" s="12">
        <v>46010</v>
      </c>
      <c r="E18" s="7"/>
      <c r="F18" s="7"/>
      <c r="G18" s="7"/>
      <c r="H18" s="7"/>
      <c r="I18" s="7"/>
      <c r="J18" s="7"/>
      <c r="K18" s="29"/>
      <c r="L18" s="29"/>
      <c r="M18" s="2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3.8" x14ac:dyDescent="0.25">
      <c r="A19" s="10" t="s">
        <v>49</v>
      </c>
      <c r="B19" s="10" t="s">
        <v>36</v>
      </c>
      <c r="C19" s="12">
        <v>46001</v>
      </c>
      <c r="D19" s="12">
        <v>46015</v>
      </c>
      <c r="E19" s="7"/>
      <c r="F19" s="7"/>
      <c r="G19" s="7"/>
      <c r="H19" s="7"/>
      <c r="I19" s="7"/>
      <c r="J19" s="7"/>
      <c r="K19" s="7"/>
      <c r="L19" s="29"/>
      <c r="M19" s="29"/>
      <c r="N19" s="29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3.8" x14ac:dyDescent="0.25">
      <c r="A20" s="10" t="s">
        <v>50</v>
      </c>
      <c r="B20" s="10" t="s">
        <v>36</v>
      </c>
      <c r="C20" s="12">
        <v>46015</v>
      </c>
      <c r="D20" s="12">
        <v>46036</v>
      </c>
      <c r="E20" s="7"/>
      <c r="F20" s="7"/>
      <c r="G20" s="7"/>
      <c r="H20" s="7"/>
      <c r="I20" s="7"/>
      <c r="J20" s="7"/>
      <c r="K20" s="7"/>
      <c r="L20" s="7"/>
      <c r="M20" s="7"/>
      <c r="N20" s="29"/>
      <c r="O20" s="29"/>
      <c r="P20" s="29"/>
      <c r="Q20" s="29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3.2" x14ac:dyDescent="0.25">
      <c r="A21" s="14" t="s">
        <v>51</v>
      </c>
      <c r="B21" s="15"/>
      <c r="C21" s="16">
        <v>46038</v>
      </c>
      <c r="D21" s="17">
        <v>46087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31"/>
      <c r="R21" s="31"/>
      <c r="S21" s="31"/>
      <c r="T21" s="31"/>
      <c r="U21" s="31"/>
      <c r="V21" s="31"/>
      <c r="W21" s="31"/>
      <c r="X21" s="31"/>
      <c r="Y21" s="7"/>
      <c r="Z21" s="7"/>
      <c r="AA21" s="7"/>
      <c r="AB21" s="7"/>
      <c r="AC21" s="7"/>
      <c r="AD21" s="7"/>
    </row>
    <row r="22" spans="1:30" x14ac:dyDescent="0.25">
      <c r="A22" s="14" t="s">
        <v>52</v>
      </c>
      <c r="B22" s="14" t="s">
        <v>38</v>
      </c>
      <c r="C22" s="16">
        <v>46038</v>
      </c>
      <c r="D22" s="16">
        <v>46052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31"/>
      <c r="R22" s="31"/>
      <c r="S22" s="31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5">
      <c r="A23" s="14" t="s">
        <v>53</v>
      </c>
      <c r="B23" s="14" t="s">
        <v>40</v>
      </c>
      <c r="C23" s="16">
        <v>46038</v>
      </c>
      <c r="D23" s="17">
        <v>46059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31"/>
      <c r="R23" s="31"/>
      <c r="S23" s="31"/>
      <c r="T23" s="31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5">
      <c r="A24" s="14" t="s">
        <v>54</v>
      </c>
      <c r="B24" s="14" t="s">
        <v>36</v>
      </c>
      <c r="C24" s="16">
        <v>46052</v>
      </c>
      <c r="D24" s="16">
        <v>46066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31"/>
      <c r="T24" s="31"/>
      <c r="U24" s="31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5">
      <c r="A25" s="14" t="s">
        <v>55</v>
      </c>
      <c r="B25" s="14" t="s">
        <v>36</v>
      </c>
      <c r="C25" s="16">
        <v>46066</v>
      </c>
      <c r="D25" s="16">
        <v>46073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31"/>
      <c r="V25" s="31"/>
      <c r="W25" s="7"/>
      <c r="X25" s="7"/>
      <c r="Y25" s="7"/>
      <c r="Z25" s="7"/>
      <c r="AA25" s="7"/>
      <c r="AB25" s="7"/>
      <c r="AC25" s="7"/>
      <c r="AD25" s="7"/>
    </row>
    <row r="26" spans="1:30" x14ac:dyDescent="0.25">
      <c r="A26" s="14" t="s">
        <v>56</v>
      </c>
      <c r="B26" s="14" t="s">
        <v>38</v>
      </c>
      <c r="C26" s="16">
        <v>46066</v>
      </c>
      <c r="D26" s="17">
        <v>46087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31"/>
      <c r="V26" s="31"/>
      <c r="W26" s="31"/>
      <c r="X26" s="31"/>
      <c r="Y26" s="7"/>
      <c r="Z26" s="7"/>
      <c r="AA26" s="7"/>
      <c r="AB26" s="7"/>
      <c r="AC26" s="7"/>
      <c r="AD26" s="7"/>
    </row>
    <row r="27" spans="1:30" x14ac:dyDescent="0.25">
      <c r="A27" s="18" t="s">
        <v>57</v>
      </c>
      <c r="B27" s="19"/>
      <c r="C27" s="20">
        <v>46089</v>
      </c>
      <c r="D27" s="21">
        <v>46122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32"/>
      <c r="Z27" s="32"/>
      <c r="AA27" s="32"/>
      <c r="AB27" s="32"/>
      <c r="AC27" s="32"/>
      <c r="AD27" s="7"/>
    </row>
    <row r="28" spans="1:30" x14ac:dyDescent="0.25">
      <c r="A28" s="18" t="s">
        <v>58</v>
      </c>
      <c r="B28" s="18" t="s">
        <v>40</v>
      </c>
      <c r="C28" s="20">
        <v>46089</v>
      </c>
      <c r="D28" s="21">
        <v>46101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32"/>
      <c r="Z28" s="32"/>
      <c r="AA28" s="7"/>
      <c r="AB28" s="7"/>
      <c r="AC28" s="7"/>
      <c r="AD28" s="7"/>
    </row>
    <row r="29" spans="1:30" x14ac:dyDescent="0.25">
      <c r="A29" s="18" t="s">
        <v>59</v>
      </c>
      <c r="B29" s="18" t="s">
        <v>36</v>
      </c>
      <c r="C29" s="20">
        <v>46089</v>
      </c>
      <c r="D29" s="21">
        <v>46103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32"/>
      <c r="Z29" s="32"/>
      <c r="AA29" s="32"/>
      <c r="AB29" s="7"/>
      <c r="AC29" s="7"/>
      <c r="AD29" s="7"/>
    </row>
    <row r="30" spans="1:30" x14ac:dyDescent="0.25">
      <c r="A30" s="18" t="s">
        <v>60</v>
      </c>
      <c r="B30" s="18" t="s">
        <v>38</v>
      </c>
      <c r="C30" s="20">
        <v>46089</v>
      </c>
      <c r="D30" s="21">
        <v>46103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2"/>
      <c r="Z30" s="32"/>
      <c r="AA30" s="32"/>
      <c r="AB30" s="7"/>
      <c r="AC30" s="7"/>
      <c r="AD30" s="7"/>
    </row>
    <row r="31" spans="1:30" x14ac:dyDescent="0.25">
      <c r="A31" s="18" t="s">
        <v>61</v>
      </c>
      <c r="B31" s="18" t="s">
        <v>36</v>
      </c>
      <c r="C31" s="21">
        <v>46103</v>
      </c>
      <c r="D31" s="20">
        <v>46115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32"/>
      <c r="AB31" s="32"/>
      <c r="AC31" s="7"/>
      <c r="AD31" s="7"/>
    </row>
    <row r="32" spans="1:30" x14ac:dyDescent="0.25">
      <c r="A32" s="18" t="s">
        <v>62</v>
      </c>
      <c r="B32" s="18" t="s">
        <v>38</v>
      </c>
      <c r="C32" s="21">
        <v>46103</v>
      </c>
      <c r="D32" s="21">
        <v>46122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32"/>
      <c r="AB32" s="32"/>
      <c r="AC32" s="32"/>
      <c r="AD32" s="7"/>
    </row>
    <row r="33" spans="1:30" x14ac:dyDescent="0.25">
      <c r="A33" s="22" t="s">
        <v>63</v>
      </c>
      <c r="B33" s="23"/>
      <c r="C33" s="24">
        <v>46122</v>
      </c>
      <c r="D33" s="24">
        <v>46129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33"/>
      <c r="AD33" s="33"/>
    </row>
    <row r="34" spans="1:30" x14ac:dyDescent="0.25">
      <c r="A34" s="22" t="s">
        <v>64</v>
      </c>
      <c r="B34" s="22" t="s">
        <v>38</v>
      </c>
      <c r="C34" s="24">
        <v>46122</v>
      </c>
      <c r="D34" s="24">
        <v>46125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33"/>
      <c r="AD34" s="7"/>
    </row>
    <row r="35" spans="1:30" x14ac:dyDescent="0.25">
      <c r="A35" s="22" t="s">
        <v>65</v>
      </c>
      <c r="B35" s="22" t="s">
        <v>36</v>
      </c>
      <c r="C35" s="24">
        <v>46122</v>
      </c>
      <c r="D35" s="24">
        <v>46125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33"/>
      <c r="AD35" s="7"/>
    </row>
    <row r="36" spans="1:30" x14ac:dyDescent="0.25">
      <c r="A36" s="22" t="s">
        <v>66</v>
      </c>
      <c r="B36" s="22" t="s">
        <v>36</v>
      </c>
      <c r="C36" s="24">
        <v>46122</v>
      </c>
      <c r="D36" s="24">
        <v>46126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33"/>
      <c r="AD36" s="7"/>
    </row>
    <row r="37" spans="1:30" x14ac:dyDescent="0.25">
      <c r="A37" s="22" t="s">
        <v>67</v>
      </c>
      <c r="B37" s="22" t="s">
        <v>40</v>
      </c>
      <c r="C37" s="24">
        <v>46122</v>
      </c>
      <c r="D37" s="24">
        <v>46126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33"/>
      <c r="AD37" s="7"/>
    </row>
    <row r="38" spans="1:30" x14ac:dyDescent="0.25">
      <c r="A38" s="22" t="s">
        <v>68</v>
      </c>
      <c r="B38" s="22" t="s">
        <v>36</v>
      </c>
      <c r="C38" s="24">
        <v>46122</v>
      </c>
      <c r="D38" s="24">
        <v>46128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33"/>
      <c r="AD38" s="33"/>
    </row>
    <row r="39" spans="1:30" x14ac:dyDescent="0.25">
      <c r="A39" s="22" t="s">
        <v>69</v>
      </c>
      <c r="B39" s="22" t="s">
        <v>38</v>
      </c>
      <c r="C39" s="24">
        <v>46122</v>
      </c>
      <c r="D39" s="24">
        <v>46128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3"/>
      <c r="AD39" s="33"/>
    </row>
    <row r="40" spans="1:30" x14ac:dyDescent="0.25">
      <c r="A40" s="22" t="s">
        <v>70</v>
      </c>
      <c r="B40" s="22" t="s">
        <v>71</v>
      </c>
      <c r="C40" s="24">
        <v>46125</v>
      </c>
      <c r="D40" s="24">
        <v>46129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33"/>
    </row>
    <row r="41" spans="1:30" x14ac:dyDescent="0.25">
      <c r="A41" s="25" t="s">
        <v>72</v>
      </c>
      <c r="B41" s="26"/>
      <c r="C41" s="27">
        <v>46129</v>
      </c>
      <c r="D41" s="27">
        <v>46129</v>
      </c>
      <c r="E41" s="26" t="e">
        <f t="shared" ref="E41:E42" si="0">IF(AND(DATE(2025,10,17)&gt;=DATEVALUE($C41),DATE(2025,10,17)&lt;=DATEVALUE($D41)),"█","")</f>
        <v>#VALUE!</v>
      </c>
      <c r="F41" s="26" t="e">
        <f t="shared" ref="F41:F42" si="1">IF(AND(DATE(2025,10,24)&gt;=DATEVALUE($C41),DATE(2025,10,24)&lt;=DATEVALUE($D41)),"█","")</f>
        <v>#VALUE!</v>
      </c>
      <c r="G41" s="26" t="e">
        <f t="shared" ref="G41:G42" si="2">IF(AND(DATE(2025,10,31)&gt;=DATEVALUE($C41),DATE(2025,10,31)&lt;=DATEVALUE($D41)),"█","")</f>
        <v>#VALUE!</v>
      </c>
      <c r="H41" s="26" t="e">
        <f t="shared" ref="H41:H42" si="3">IF(AND(DATE(2025,11,7)&gt;=DATEVALUE($C41),DATE(2025,11,7)&lt;=DATEVALUE($D41)),"█","")</f>
        <v>#VALUE!</v>
      </c>
      <c r="I41" s="26" t="e">
        <f t="shared" ref="I41:I42" si="4">IF(AND(DATE(2025,11,14)&gt;=DATEVALUE($C41),DATE(2025,11,14)&lt;=DATEVALUE($D41)),"█","")</f>
        <v>#VALUE!</v>
      </c>
      <c r="J41" s="26" t="e">
        <f t="shared" ref="J41:J42" si="5">IF(AND(DATE(2025,11,21)&gt;=DATEVALUE($C41),DATE(2025,11,21)&lt;=DATEVALUE($D41)),"█","")</f>
        <v>#VALUE!</v>
      </c>
      <c r="K41" s="26" t="e">
        <f t="shared" ref="K41:K42" si="6">IF(AND(DATE(2025,11,28)&gt;=DATEVALUE($C41),DATE(2025,11,28)&lt;=DATEVALUE($D41)),"█","")</f>
        <v>#VALUE!</v>
      </c>
      <c r="L41" s="26" t="e">
        <f t="shared" ref="L41:L42" si="7">IF(AND(DATE(2025,12,5)&gt;=DATEVALUE($C41),DATE(2025,12,5)&lt;=DATEVALUE($D41)),"█","")</f>
        <v>#VALUE!</v>
      </c>
      <c r="M41" s="26" t="e">
        <f t="shared" ref="M41:M42" si="8">IF(AND(DATE(2025,12,12)&gt;=DATEVALUE($C41),DATE(2025,12,12)&lt;=DATEVALUE($D41)),"█","")</f>
        <v>#VALUE!</v>
      </c>
      <c r="N41" s="26" t="e">
        <f t="shared" ref="N41:N42" si="9">IF(AND(DATE(2025,12,19)&gt;=DATEVALUE($C41),DATE(2025,12,19)&lt;=DATEVALUE($D41)),"█","")</f>
        <v>#VALUE!</v>
      </c>
      <c r="O41" s="26" t="e">
        <f t="shared" ref="O41:O42" si="10">IF(AND(DATE(2025,12,26)&gt;=DATEVALUE($C41),DATE(2025,12,26)&lt;=DATEVALUE($D41)),"█","")</f>
        <v>#VALUE!</v>
      </c>
      <c r="P41" s="26" t="e">
        <f t="shared" ref="P41:P42" si="11">IF(AND(DATE(2026,1,2)&gt;=DATEVALUE($C41),DATE(2026,1,2)&lt;=DATEVALUE($D41)),"█","")</f>
        <v>#VALUE!</v>
      </c>
      <c r="Q41" s="26" t="e">
        <f t="shared" ref="Q41:Q42" si="12">IF(AND(DATE(2026,1,9)&gt;=DATEVALUE($C41),DATE(2026,1,9)&lt;=DATEVALUE($D41)),"█","")</f>
        <v>#VALUE!</v>
      </c>
      <c r="R41" s="26" t="e">
        <f t="shared" ref="R41:R42" si="13">IF(AND(DATE(2026,1,16)&gt;=DATEVALUE($C41),DATE(2026,1,16)&lt;=DATEVALUE($D41)),"█","")</f>
        <v>#VALUE!</v>
      </c>
      <c r="S41" s="26" t="e">
        <f t="shared" ref="S41:S42" si="14">IF(AND(DATE(2026,1,23)&gt;=DATEVALUE($C41),DATE(2026,1,23)&lt;=DATEVALUE($D41)),"█","")</f>
        <v>#VALUE!</v>
      </c>
      <c r="T41" s="26" t="e">
        <f t="shared" ref="T41:T42" si="15">IF(AND(DATE(2026,1,30)&gt;=DATEVALUE($C41),DATE(2026,1,30)&lt;=DATEVALUE($D41)),"█","")</f>
        <v>#VALUE!</v>
      </c>
      <c r="U41" s="26" t="e">
        <f t="shared" ref="U41:U42" si="16">IF(AND(DATE(2026,2,6)&gt;=DATEVALUE($C41),DATE(2026,2,6)&lt;=DATEVALUE($D41)),"█","")</f>
        <v>#VALUE!</v>
      </c>
      <c r="V41" s="26" t="e">
        <f t="shared" ref="V41:V42" si="17">IF(AND(DATE(2026,2,13)&gt;=DATEVALUE($C41),DATE(2026,2,13)&lt;=DATEVALUE($D41)),"█","")</f>
        <v>#VALUE!</v>
      </c>
      <c r="W41" s="26" t="e">
        <f t="shared" ref="W41:W42" si="18">IF(AND(DATE(2026,2,20)&gt;=DATEVALUE($C41),DATE(2026,2,20)&lt;=DATEVALUE($D41)),"█","")</f>
        <v>#VALUE!</v>
      </c>
      <c r="X41" s="26" t="e">
        <f t="shared" ref="X41:X42" si="19">IF(AND(DATE(2026,2,27)&gt;=DATEVALUE($C41),DATE(2026,2,27)&lt;=DATEVALUE($D41)),"█","")</f>
        <v>#VALUE!</v>
      </c>
      <c r="Y41" s="26" t="e">
        <f t="shared" ref="Y41:Y42" si="20">IF(AND(DATE(2026,3,6)&gt;=DATEVALUE($C41),DATE(2026,3,6)&lt;=DATEVALUE($D41)),"█","")</f>
        <v>#VALUE!</v>
      </c>
      <c r="Z41" s="26" t="e">
        <f t="shared" ref="Z41:Z42" si="21">IF(AND(DATE(2026,3,13)&gt;=DATEVALUE($C41),DATE(2026,3,13)&lt;=DATEVALUE($D41)),"█","")</f>
        <v>#VALUE!</v>
      </c>
      <c r="AA41" s="26" t="e">
        <f t="shared" ref="AA41:AA42" si="22">IF(AND(DATE(2026,3,20)&gt;=DATEVALUE($C41),DATE(2026,3,20)&lt;=DATEVALUE($D41)),"█","")</f>
        <v>#VALUE!</v>
      </c>
      <c r="AB41" s="26" t="e">
        <f t="shared" ref="AB41:AB42" si="23">IF(AND(DATE(2026,3,27)&gt;=DATEVALUE($C41),DATE(2026,3,27)&lt;=DATEVALUE($D41)),"█","")</f>
        <v>#VALUE!</v>
      </c>
      <c r="AC41" s="26" t="e">
        <f t="shared" ref="AC41:AC42" si="24">IF(AND(DATE(2026,4,3)&gt;=DATEVALUE($C41),DATE(2026,4,3)&lt;=DATEVALUE($D41)),"█","")</f>
        <v>#VALUE!</v>
      </c>
      <c r="AD41" s="26" t="e">
        <f t="shared" ref="AD41:AD42" si="25">IF(AND(DATE(2026,4,10)&gt;=DATEVALUE($C41),DATE(2026,4,10)&lt;=DATEVALUE($D41)),"█","")</f>
        <v>#VALUE!</v>
      </c>
    </row>
    <row r="42" spans="1:30" x14ac:dyDescent="0.25">
      <c r="A42" s="25" t="s">
        <v>73</v>
      </c>
      <c r="B42" s="26"/>
      <c r="C42" s="27">
        <v>46133</v>
      </c>
      <c r="D42" s="27">
        <v>46133</v>
      </c>
      <c r="E42" s="26" t="e">
        <f t="shared" si="0"/>
        <v>#VALUE!</v>
      </c>
      <c r="F42" s="26" t="e">
        <f t="shared" si="1"/>
        <v>#VALUE!</v>
      </c>
      <c r="G42" s="26" t="e">
        <f t="shared" si="2"/>
        <v>#VALUE!</v>
      </c>
      <c r="H42" s="26" t="e">
        <f t="shared" si="3"/>
        <v>#VALUE!</v>
      </c>
      <c r="I42" s="26" t="e">
        <f t="shared" si="4"/>
        <v>#VALUE!</v>
      </c>
      <c r="J42" s="26" t="e">
        <f t="shared" si="5"/>
        <v>#VALUE!</v>
      </c>
      <c r="K42" s="26" t="e">
        <f t="shared" si="6"/>
        <v>#VALUE!</v>
      </c>
      <c r="L42" s="26" t="e">
        <f t="shared" si="7"/>
        <v>#VALUE!</v>
      </c>
      <c r="M42" s="26" t="e">
        <f t="shared" si="8"/>
        <v>#VALUE!</v>
      </c>
      <c r="N42" s="26" t="e">
        <f t="shared" si="9"/>
        <v>#VALUE!</v>
      </c>
      <c r="O42" s="26" t="e">
        <f t="shared" si="10"/>
        <v>#VALUE!</v>
      </c>
      <c r="P42" s="26" t="e">
        <f t="shared" si="11"/>
        <v>#VALUE!</v>
      </c>
      <c r="Q42" s="26" t="e">
        <f t="shared" si="12"/>
        <v>#VALUE!</v>
      </c>
      <c r="R42" s="26" t="e">
        <f t="shared" si="13"/>
        <v>#VALUE!</v>
      </c>
      <c r="S42" s="26" t="e">
        <f t="shared" si="14"/>
        <v>#VALUE!</v>
      </c>
      <c r="T42" s="26" t="e">
        <f t="shared" si="15"/>
        <v>#VALUE!</v>
      </c>
      <c r="U42" s="26" t="e">
        <f t="shared" si="16"/>
        <v>#VALUE!</v>
      </c>
      <c r="V42" s="26" t="e">
        <f t="shared" si="17"/>
        <v>#VALUE!</v>
      </c>
      <c r="W42" s="26" t="e">
        <f t="shared" si="18"/>
        <v>#VALUE!</v>
      </c>
      <c r="X42" s="26" t="e">
        <f t="shared" si="19"/>
        <v>#VALUE!</v>
      </c>
      <c r="Y42" s="26" t="e">
        <f t="shared" si="20"/>
        <v>#VALUE!</v>
      </c>
      <c r="Z42" s="26" t="e">
        <f t="shared" si="21"/>
        <v>#VALUE!</v>
      </c>
      <c r="AA42" s="26" t="e">
        <f t="shared" si="22"/>
        <v>#VALUE!</v>
      </c>
      <c r="AB42" s="26" t="e">
        <f t="shared" si="23"/>
        <v>#VALUE!</v>
      </c>
      <c r="AC42" s="26" t="e">
        <f t="shared" si="24"/>
        <v>#VALUE!</v>
      </c>
      <c r="AD42" s="26" t="e">
        <f t="shared" si="2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S P I R E 7</cp:lastModifiedBy>
  <dcterms:modified xsi:type="dcterms:W3CDTF">2026-04-17T03:10:33Z</dcterms:modified>
</cp:coreProperties>
</file>