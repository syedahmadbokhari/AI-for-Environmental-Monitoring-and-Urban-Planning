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<sst xmlns="http://schemas.openxmlformats.org/spreadsheetml/2006/main" count="99" uniqueCount="74">
  <si>
    <t>AI for Environmental Monitoring &amp; Urban Planning - Project Gantt Chart</t>
  </si>
  <si>
    <t>Project Start: 17 Oct 2025</t>
  </si>
  <si>
    <t>Project End: 17 Apr 2026</t>
  </si>
  <si>
    <t>Team: Sabal Nemkul | Thathsara Abesooriya | Syed Bokhari</t>
  </si>
  <si>
    <t>SPRINT / TASK</t>
  </si>
  <si>
    <t>OWNER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</si>
  <si>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</si>
  <si>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</si>
  <si>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</si>
  <si>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</si>
  <si>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</si>
  <si>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</si>
  <si>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</si>
  <si>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</si>
  <si>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</si>
  <si>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</si>
  <si>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</si>
  <si>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</si>
  <si>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</si>
  <si>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</si>
  <si>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</si>
  <si>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</si>
  <si>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</si>
  <si>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</si>
  <si>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</si>
  <si>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</si>
  <si>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</si>
  <si>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</si>
  <si>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</si>
  <si>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</si>
  <si>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</si>
  <si>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</si>
  <si>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</si>
  <si>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</si>
  <si>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◆ SPRINT 0 — INITIATION &amp; PLANNING (17 Oct – 21 Nov 2025)</t>
  </si>
  <si>
    <t>Create Mind Map</t>
  </si>
  <si>
    <t>Sabal</t>
  </si>
  <si>
    <t>Produce OKR Table</t>
  </si>
  <si>
    <t>Syed Bokhari</t>
  </si>
  <si>
    <t>Draft Project Charter</t>
  </si>
  <si>
    <t>Thathsara</t>
  </si>
  <si>
    <t>Complete Risk Assessment</t>
  </si>
  <si>
    <t>Create Communication Plan</t>
  </si>
  <si>
    <t>Produce Ishikawa Diagram</t>
  </si>
  <si>
    <t>◆ SPRINT 1 — RESEARCH &amp; DESIGN (26 Nov – 14 Jan 2026)</t>
  </si>
  <si>
    <t>Research Dashboard Design</t>
  </si>
  <si>
    <t>Research Anomaly Visualisation</t>
  </si>
  <si>
    <t>Research GIS Layers &amp; Mapping</t>
  </si>
  <si>
    <t>Produce Dashboard Wireframes</t>
  </si>
  <si>
    <t>Create Use Case Diagrams</t>
  </si>
  <si>
    <t>Create Activity Diagrams</t>
  </si>
  <si>
    <t>◆ SPRINT 2 — PROTOTYPE DEVELOPMENT (16 Jan – 06 Mar 2026)</t>
  </si>
  <si>
    <t>Explore Datasets</t>
  </si>
  <si>
    <t>Test CV Model Options</t>
  </si>
  <si>
    <t>Begin Dashboard Layout Prototype</t>
  </si>
  <si>
    <t>Define Integration Requirements</t>
  </si>
  <si>
    <t>Prepare Data Pipeline Outline</t>
  </si>
  <si>
    <t>◆ SPRINT 3 — EVALUATION &amp; REFINEMENT (08 Mar – 10 Apr 2026)</t>
  </si>
  <si>
    <t>Refine Anomaly Visualisation</t>
  </si>
  <si>
    <t>Improve Dashboard Interactions</t>
  </si>
  <si>
    <t>Improve Detection Details Panel</t>
  </si>
  <si>
    <t>Integrate &amp; Refine Heatmap Overlay</t>
  </si>
  <si>
    <t>Prepare Summary Report Logic</t>
  </si>
  <si>
    <t>◆ SPRINT 4 — FINALISATION &amp; REPORTING (10 Apr – 17 Apr 2026)</t>
  </si>
  <si>
    <t>Finalise Summary Report Output</t>
  </si>
  <si>
    <t>Finalise Wireframes for Appendix</t>
  </si>
  <si>
    <t>Finalise Use Case Diagrams</t>
  </si>
  <si>
    <t>Finalise Activity Diagrams</t>
  </si>
  <si>
    <t>Write Final Report</t>
  </si>
  <si>
    <t>Prepare Group Poster</t>
  </si>
  <si>
    <t>Prepare Presentation Slides</t>
  </si>
  <si>
    <t>Sabal &amp; Thathsara</t>
  </si>
  <si>
    <t>◆ SUBMISSION DEADLINE</t>
  </si>
  <si>
    <t>◆ EXHIBITION / DEMO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</si>
</sst>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"/>
    <numFmt numFmtId="165" formatCode="dd-mmm"/>
    <numFmt numFmtId="166" formatCode="d-mmm-yy"/>
    <numFmt numFmtId="167" formatCode="dd-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6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166" xfId="0" applyAlignment="1" applyFont="1" applyNumberFormat="1">
      <alignment readingOrder="0"/>
    </xf>
    <xf borderId="0" fillId="4" fontId="2" numFmtId="167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166" xfId="0" applyAlignment="1" applyFont="1" applyNumberFormat="1">
      <alignment readingOrder="0"/>
    </xf>
    <xf borderId="0" fillId="5" fontId="2" numFmtId="167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2" numFmtId="167" xfId="0" applyAlignment="1" applyFont="1" applyNumberFormat="1">
      <alignment readingOrder="0"/>
    </xf>
    <xf borderId="0" fillId="6" fontId="2" numFmtId="166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7" fontId="2" numFmtId="166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Font="1"/>
    <xf borderId="0" fillId="8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4">
        <v>46312.0</v>
      </c>
      <c r="B6" s="4">
        <v>46319.0</v>
      </c>
      <c r="C6" s="4">
        <v>46326.0</v>
      </c>
      <c r="D6" s="5">
        <v>46333.0</v>
      </c>
      <c r="E6" s="4">
        <v>46340.0</v>
      </c>
      <c r="F6" s="4">
        <v>46347.0</v>
      </c>
      <c r="G6" s="4">
        <v>46354.0</v>
      </c>
      <c r="H6" s="5">
        <v>46361.0</v>
      </c>
      <c r="I6" s="4">
        <v>46368.0</v>
      </c>
      <c r="J6" s="4">
        <v>46375.0</v>
      </c>
      <c r="K6" s="4">
        <v>46382.0</v>
      </c>
      <c r="L6" s="5">
        <v>46024.0</v>
      </c>
      <c r="M6" s="5">
        <v>46031.0</v>
      </c>
      <c r="N6" s="4">
        <v>46038.0</v>
      </c>
      <c r="O6" s="4">
        <v>46045.0</v>
      </c>
      <c r="P6" s="4">
        <v>46052.0</v>
      </c>
      <c r="Q6" s="5">
        <v>46059.0</v>
      </c>
      <c r="R6" s="4">
        <v>46066.0</v>
      </c>
      <c r="S6" s="4">
        <v>46073.0</v>
      </c>
      <c r="T6" s="4">
        <v>46080.0</v>
      </c>
      <c r="U6" s="5">
        <v>46087.0</v>
      </c>
      <c r="V6" s="4">
        <v>46094.0</v>
      </c>
      <c r="W6" s="4">
        <v>46101.0</v>
      </c>
      <c r="X6" s="4">
        <v>46108.0</v>
      </c>
      <c r="Y6" s="5">
        <v>46115.0</v>
      </c>
      <c r="Z6" s="4">
        <v>46122.0</v>
      </c>
      <c r="AA6" s="4">
        <v>46129.0</v>
      </c>
      <c r="AB6" s="6"/>
      <c r="AC6" s="6"/>
      <c r="AD6" s="6"/>
    </row>
    <row r="7">
      <c r="A7" s="7" t="s">
        <v>34</v>
      </c>
      <c r="B7" s="8"/>
      <c r="C7" s="9">
        <v>45947.0</v>
      </c>
      <c r="D7" s="9">
        <v>45982.0</v>
      </c>
      <c r="E7" s="8" t="str">
        <f t="shared" ref="E7:E42" si="1">IF(AND(DATE(2025,10,17)&gt;=DATEVALUE($C7),DATE(2025,10,17)&lt;=DATEVALUE($D7)),"█","")</f>
        <v>█</v>
      </c>
      <c r="F7" s="8" t="str">
        <f t="shared" ref="F7:F42" si="2">IF(AND(DATE(2025,10,24)&gt;=DATEVALUE($C7),DATE(2025,10,24)&lt;=DATEVALUE($D7)),"█","")</f>
        <v>█</v>
      </c>
      <c r="G7" s="8" t="str">
        <f t="shared" ref="G7:G42" si="3">IF(AND(DATE(2025,10,31)&gt;=DATEVALUE($C7),DATE(2025,10,31)&lt;=DATEVALUE($D7)),"█","")</f>
        <v>█</v>
      </c>
      <c r="H7" s="8" t="str">
        <f t="shared" ref="H7:H42" si="4">IF(AND(DATE(2025,11,7)&gt;=DATEVALUE($C7),DATE(2025,11,7)&lt;=DATEVALUE($D7)),"█","")</f>
        <v>█</v>
      </c>
      <c r="I7" s="8" t="str">
        <f t="shared" ref="I7:I42" si="5">IF(AND(DATE(2025,11,14)&gt;=DATEVALUE($C7),DATE(2025,11,14)&lt;=DATEVALUE($D7)),"█","")</f>
        <v>█</v>
      </c>
      <c r="J7" s="8" t="str">
        <f t="shared" ref="J7:J42" si="6">IF(AND(DATE(2025,11,21)&gt;=DATEVALUE($C7),DATE(2025,11,21)&lt;=DATEVALUE($D7)),"█","")</f>
        <v>█</v>
      </c>
      <c r="K7" s="8" t="str">
        <f t="shared" ref="K7:K42" si="7">IF(AND(DATE(2025,11,28)&gt;=DATEVALUE($C7),DATE(2025,11,28)&lt;=DATEVALUE($D7)),"█","")</f>
        <v/>
      </c>
      <c r="L7" s="8" t="str">
        <f t="shared" ref="L7:L42" si="8">IF(AND(DATE(2025,12,5)&gt;=DATEVALUE($C7),DATE(2025,12,5)&lt;=DATEVALUE($D7)),"█","")</f>
        <v/>
      </c>
      <c r="M7" s="8" t="str">
        <f t="shared" ref="M7:M42" si="9">IF(AND(DATE(2025,12,12)&gt;=DATEVALUE($C7),DATE(2025,12,12)&lt;=DATEVALUE($D7)),"█","")</f>
        <v/>
      </c>
      <c r="N7" s="8" t="str">
        <f t="shared" ref="N7:N42" si="10">IF(AND(DATE(2025,12,19)&gt;=DATEVALUE($C7),DATE(2025,12,19)&lt;=DATEVALUE($D7)),"█","")</f>
        <v/>
      </c>
      <c r="O7" s="8" t="str">
        <f t="shared" ref="O7:O42" si="11">IF(AND(DATE(2025,12,26)&gt;=DATEVALUE($C7),DATE(2025,12,26)&lt;=DATEVALUE($D7)),"█","")</f>
        <v/>
      </c>
      <c r="P7" s="8" t="str">
        <f t="shared" ref="P7:P42" si="12">IF(AND(DATE(2026,1,2)&gt;=DATEVALUE($C7),DATE(2026,1,2)&lt;=DATEVALUE($D7)),"█","")</f>
        <v/>
      </c>
      <c r="Q7" s="8" t="str">
        <f t="shared" ref="Q7:Q42" si="13">IF(AND(DATE(2026,1,9)&gt;=DATEVALUE($C7),DATE(2026,1,9)&lt;=DATEVALUE($D7)),"█","")</f>
        <v/>
      </c>
      <c r="R7" s="8" t="str">
        <f t="shared" ref="R7:R42" si="14">IF(AND(DATE(2026,1,16)&gt;=DATEVALUE($C7),DATE(2026,1,16)&lt;=DATEVALUE($D7)),"█","")</f>
        <v/>
      </c>
      <c r="S7" s="8" t="str">
        <f t="shared" ref="S7:S42" si="15">IF(AND(DATE(2026,1,23)&gt;=DATEVALUE($C7),DATE(2026,1,23)&lt;=DATEVALUE($D7)),"█","")</f>
        <v/>
      </c>
      <c r="T7" s="8" t="str">
        <f t="shared" ref="T7:T42" si="16">IF(AND(DATE(2026,1,30)&gt;=DATEVALUE($C7),DATE(2026,1,30)&lt;=DATEVALUE($D7)),"█","")</f>
        <v/>
      </c>
      <c r="U7" s="8" t="str">
        <f t="shared" ref="U7:U42" si="17">IF(AND(DATE(2026,2,6)&gt;=DATEVALUE($C7),DATE(2026,2,6)&lt;=DATEVALUE($D7)),"█","")</f>
        <v/>
      </c>
      <c r="V7" s="8" t="str">
        <f t="shared" ref="V7:V42" si="18">IF(AND(DATE(2026,2,13)&gt;=DATEVALUE($C7),DATE(2026,2,13)&lt;=DATEVALUE($D7)),"█","")</f>
        <v/>
      </c>
      <c r="W7" s="8" t="str">
        <f t="shared" ref="W7:W42" si="19">IF(AND(DATE(2026,2,20)&gt;=DATEVALUE($C7),DATE(2026,2,20)&lt;=DATEVALUE($D7)),"█","")</f>
        <v/>
      </c>
      <c r="X7" s="8" t="str">
        <f t="shared" ref="X7:X42" si="20">IF(AND(DATE(2026,2,27)&gt;=DATEVALUE($C7),DATE(2026,2,27)&lt;=DATEVALUE($D7)),"█","")</f>
        <v/>
      </c>
      <c r="Y7" s="8" t="str">
        <f t="shared" ref="Y7:Y42" si="21">IF(AND(DATE(2026,3,6)&gt;=DATEVALUE($C7),DATE(2026,3,6)&lt;=DATEVALUE($D7)),"█","")</f>
        <v/>
      </c>
      <c r="Z7" s="8" t="str">
        <f t="shared" ref="Z7:Z42" si="22">IF(AND(DATE(2026,3,13)&gt;=DATEVALUE($C7),DATE(2026,3,13)&lt;=DATEVALUE($D7)),"█","")</f>
        <v/>
      </c>
      <c r="AA7" s="8" t="str">
        <f t="shared" ref="AA7:AA42" si="23">IF(AND(DATE(2026,3,20)&gt;=DATEVALUE($C7),DATE(2026,3,20)&lt;=DATEVALUE($D7)),"█","")</f>
        <v/>
      </c>
      <c r="AB7" s="8" t="str">
        <f t="shared" ref="AB7:AB42" si="24">IF(AND(DATE(2026,3,27)&gt;=DATEVALUE($C7),DATE(2026,3,27)&lt;=DATEVALUE($D7)),"█","")</f>
        <v/>
      </c>
      <c r="AC7" s="8" t="str">
        <f t="shared" ref="AC7:AC42" si="25">IF(AND(DATE(2026,4,3)&gt;=DATEVALUE($C7),DATE(2026,4,3)&lt;=DATEVALUE($D7)),"█","")</f>
        <v/>
      </c>
      <c r="AD7" s="8" t="str">
        <f t="shared" ref="AD7:AD42" si="26">IF(AND(DATE(2026,4,10)&gt;=DATEVALUE($C7),DATE(2026,4,10)&lt;=DATEVALUE($D7)),"█","")</f>
        <v/>
      </c>
    </row>
    <row r="8">
      <c r="A8" s="7" t="s">
        <v>35</v>
      </c>
      <c r="B8" s="7" t="s">
        <v>36</v>
      </c>
      <c r="C8" s="9">
        <v>45947.0</v>
      </c>
      <c r="D8" s="9">
        <v>45954.0</v>
      </c>
      <c r="E8" s="8" t="str">
        <f t="shared" si="1"/>
        <v>█</v>
      </c>
      <c r="F8" s="8" t="str">
        <f t="shared" si="2"/>
        <v>█</v>
      </c>
      <c r="G8" s="8" t="str">
        <f t="shared" si="3"/>
        <v/>
      </c>
      <c r="H8" s="8" t="str">
        <f t="shared" si="4"/>
        <v/>
      </c>
      <c r="I8" s="8" t="str">
        <f t="shared" si="5"/>
        <v/>
      </c>
      <c r="J8" s="8" t="str">
        <f t="shared" si="6"/>
        <v/>
      </c>
      <c r="K8" s="8" t="str">
        <f t="shared" si="7"/>
        <v/>
      </c>
      <c r="L8" s="8" t="str">
        <f t="shared" si="8"/>
        <v/>
      </c>
      <c r="M8" s="8" t="str">
        <f t="shared" si="9"/>
        <v/>
      </c>
      <c r="N8" s="8" t="str">
        <f t="shared" si="10"/>
        <v/>
      </c>
      <c r="O8" s="8" t="str">
        <f t="shared" si="11"/>
        <v/>
      </c>
      <c r="P8" s="8" t="str">
        <f t="shared" si="12"/>
        <v/>
      </c>
      <c r="Q8" s="8" t="str">
        <f t="shared" si="13"/>
        <v/>
      </c>
      <c r="R8" s="8" t="str">
        <f t="shared" si="14"/>
        <v/>
      </c>
      <c r="S8" s="8" t="str">
        <f t="shared" si="15"/>
        <v/>
      </c>
      <c r="T8" s="8" t="str">
        <f t="shared" si="16"/>
        <v/>
      </c>
      <c r="U8" s="8" t="str">
        <f t="shared" si="17"/>
        <v/>
      </c>
      <c r="V8" s="8" t="str">
        <f t="shared" si="18"/>
        <v/>
      </c>
      <c r="W8" s="8" t="str">
        <f t="shared" si="19"/>
        <v/>
      </c>
      <c r="X8" s="8" t="str">
        <f t="shared" si="20"/>
        <v/>
      </c>
      <c r="Y8" s="8" t="str">
        <f t="shared" si="21"/>
        <v/>
      </c>
      <c r="Z8" s="8" t="str">
        <f t="shared" si="22"/>
        <v/>
      </c>
      <c r="AA8" s="8" t="str">
        <f t="shared" si="23"/>
        <v/>
      </c>
      <c r="AB8" s="8" t="str">
        <f t="shared" si="24"/>
        <v/>
      </c>
      <c r="AC8" s="8" t="str">
        <f t="shared" si="25"/>
        <v/>
      </c>
      <c r="AD8" s="8" t="str">
        <f t="shared" si="26"/>
        <v/>
      </c>
    </row>
    <row r="9">
      <c r="A9" s="7" t="s">
        <v>37</v>
      </c>
      <c r="B9" s="7" t="s">
        <v>38</v>
      </c>
      <c r="C9" s="9">
        <v>45947.0</v>
      </c>
      <c r="D9" s="9">
        <v>45954.0</v>
      </c>
      <c r="E9" s="8" t="str">
        <f t="shared" si="1"/>
        <v>█</v>
      </c>
      <c r="F9" s="8" t="str">
        <f t="shared" si="2"/>
        <v>█</v>
      </c>
      <c r="G9" s="8" t="str">
        <f t="shared" si="3"/>
        <v/>
      </c>
      <c r="H9" s="8" t="str">
        <f t="shared" si="4"/>
        <v/>
      </c>
      <c r="I9" s="8" t="str">
        <f t="shared" si="5"/>
        <v/>
      </c>
      <c r="J9" s="8" t="str">
        <f t="shared" si="6"/>
        <v/>
      </c>
      <c r="K9" s="8" t="str">
        <f t="shared" si="7"/>
        <v/>
      </c>
      <c r="L9" s="8" t="str">
        <f t="shared" si="8"/>
        <v/>
      </c>
      <c r="M9" s="8" t="str">
        <f t="shared" si="9"/>
        <v/>
      </c>
      <c r="N9" s="8" t="str">
        <f t="shared" si="10"/>
        <v/>
      </c>
      <c r="O9" s="8" t="str">
        <f t="shared" si="11"/>
        <v/>
      </c>
      <c r="P9" s="8" t="str">
        <f t="shared" si="12"/>
        <v/>
      </c>
      <c r="Q9" s="8" t="str">
        <f t="shared" si="13"/>
        <v/>
      </c>
      <c r="R9" s="8" t="str">
        <f t="shared" si="14"/>
        <v/>
      </c>
      <c r="S9" s="8" t="str">
        <f t="shared" si="15"/>
        <v/>
      </c>
      <c r="T9" s="8" t="str">
        <f t="shared" si="16"/>
        <v/>
      </c>
      <c r="U9" s="8" t="str">
        <f t="shared" si="17"/>
        <v/>
      </c>
      <c r="V9" s="8" t="str">
        <f t="shared" si="18"/>
        <v/>
      </c>
      <c r="W9" s="8" t="str">
        <f t="shared" si="19"/>
        <v/>
      </c>
      <c r="X9" s="8" t="str">
        <f t="shared" si="20"/>
        <v/>
      </c>
      <c r="Y9" s="8" t="str">
        <f t="shared" si="21"/>
        <v/>
      </c>
      <c r="Z9" s="8" t="str">
        <f t="shared" si="22"/>
        <v/>
      </c>
      <c r="AA9" s="8" t="str">
        <f t="shared" si="23"/>
        <v/>
      </c>
      <c r="AB9" s="8" t="str">
        <f t="shared" si="24"/>
        <v/>
      </c>
      <c r="AC9" s="8" t="str">
        <f t="shared" si="25"/>
        <v/>
      </c>
      <c r="AD9" s="8" t="str">
        <f t="shared" si="26"/>
        <v/>
      </c>
    </row>
    <row r="10">
      <c r="A10" s="7" t="s">
        <v>39</v>
      </c>
      <c r="B10" s="7" t="s">
        <v>40</v>
      </c>
      <c r="C10" s="9">
        <v>45954.0</v>
      </c>
      <c r="D10" s="10">
        <v>45968.0</v>
      </c>
      <c r="E10" s="8" t="str">
        <f t="shared" si="1"/>
        <v/>
      </c>
      <c r="F10" s="8" t="str">
        <f t="shared" si="2"/>
        <v>█</v>
      </c>
      <c r="G10" s="8" t="str">
        <f t="shared" si="3"/>
        <v>█</v>
      </c>
      <c r="H10" s="8" t="str">
        <f t="shared" si="4"/>
        <v>█</v>
      </c>
      <c r="I10" s="8" t="str">
        <f t="shared" si="5"/>
        <v/>
      </c>
      <c r="J10" s="8" t="str">
        <f t="shared" si="6"/>
        <v/>
      </c>
      <c r="K10" s="8" t="str">
        <f t="shared" si="7"/>
        <v/>
      </c>
      <c r="L10" s="8" t="str">
        <f t="shared" si="8"/>
        <v/>
      </c>
      <c r="M10" s="8" t="str">
        <f t="shared" si="9"/>
        <v/>
      </c>
      <c r="N10" s="8" t="str">
        <f t="shared" si="10"/>
        <v/>
      </c>
      <c r="O10" s="8" t="str">
        <f t="shared" si="11"/>
        <v/>
      </c>
      <c r="P10" s="8" t="str">
        <f t="shared" si="12"/>
        <v/>
      </c>
      <c r="Q10" s="8" t="str">
        <f t="shared" si="13"/>
        <v/>
      </c>
      <c r="R10" s="8" t="str">
        <f t="shared" si="14"/>
        <v/>
      </c>
      <c r="S10" s="8" t="str">
        <f t="shared" si="15"/>
        <v/>
      </c>
      <c r="T10" s="8" t="str">
        <f t="shared" si="16"/>
        <v/>
      </c>
      <c r="U10" s="8" t="str">
        <f t="shared" si="17"/>
        <v/>
      </c>
      <c r="V10" s="8" t="str">
        <f t="shared" si="18"/>
        <v/>
      </c>
      <c r="W10" s="8" t="str">
        <f t="shared" si="19"/>
        <v/>
      </c>
      <c r="X10" s="8" t="str">
        <f t="shared" si="20"/>
        <v/>
      </c>
      <c r="Y10" s="8" t="str">
        <f t="shared" si="21"/>
        <v/>
      </c>
      <c r="Z10" s="8" t="str">
        <f t="shared" si="22"/>
        <v/>
      </c>
      <c r="AA10" s="8" t="str">
        <f t="shared" si="23"/>
        <v/>
      </c>
      <c r="AB10" s="8" t="str">
        <f t="shared" si="24"/>
        <v/>
      </c>
      <c r="AC10" s="8" t="str">
        <f t="shared" si="25"/>
        <v/>
      </c>
      <c r="AD10" s="8" t="str">
        <f t="shared" si="26"/>
        <v/>
      </c>
    </row>
    <row r="11">
      <c r="A11" s="7" t="s">
        <v>41</v>
      </c>
      <c r="B11" s="7" t="s">
        <v>36</v>
      </c>
      <c r="C11" s="9">
        <v>45954.0</v>
      </c>
      <c r="D11" s="10">
        <v>45968.0</v>
      </c>
      <c r="E11" s="8" t="str">
        <f t="shared" si="1"/>
        <v/>
      </c>
      <c r="F11" s="8" t="str">
        <f t="shared" si="2"/>
        <v>█</v>
      </c>
      <c r="G11" s="8" t="str">
        <f t="shared" si="3"/>
        <v>█</v>
      </c>
      <c r="H11" s="8" t="str">
        <f t="shared" si="4"/>
        <v>█</v>
      </c>
      <c r="I11" s="8" t="str">
        <f t="shared" si="5"/>
        <v/>
      </c>
      <c r="J11" s="8" t="str">
        <f t="shared" si="6"/>
        <v/>
      </c>
      <c r="K11" s="8" t="str">
        <f t="shared" si="7"/>
        <v/>
      </c>
      <c r="L11" s="8" t="str">
        <f t="shared" si="8"/>
        <v/>
      </c>
      <c r="M11" s="8" t="str">
        <f t="shared" si="9"/>
        <v/>
      </c>
      <c r="N11" s="8" t="str">
        <f t="shared" si="10"/>
        <v/>
      </c>
      <c r="O11" s="8" t="str">
        <f t="shared" si="11"/>
        <v/>
      </c>
      <c r="P11" s="8" t="str">
        <f t="shared" si="12"/>
        <v/>
      </c>
      <c r="Q11" s="8" t="str">
        <f t="shared" si="13"/>
        <v/>
      </c>
      <c r="R11" s="8" t="str">
        <f t="shared" si="14"/>
        <v/>
      </c>
      <c r="S11" s="8" t="str">
        <f t="shared" si="15"/>
        <v/>
      </c>
      <c r="T11" s="8" t="str">
        <f t="shared" si="16"/>
        <v/>
      </c>
      <c r="U11" s="8" t="str">
        <f t="shared" si="17"/>
        <v/>
      </c>
      <c r="V11" s="8" t="str">
        <f t="shared" si="18"/>
        <v/>
      </c>
      <c r="W11" s="8" t="str">
        <f t="shared" si="19"/>
        <v/>
      </c>
      <c r="X11" s="8" t="str">
        <f t="shared" si="20"/>
        <v/>
      </c>
      <c r="Y11" s="8" t="str">
        <f t="shared" si="21"/>
        <v/>
      </c>
      <c r="Z11" s="8" t="str">
        <f t="shared" si="22"/>
        <v/>
      </c>
      <c r="AA11" s="8" t="str">
        <f t="shared" si="23"/>
        <v/>
      </c>
      <c r="AB11" s="8" t="str">
        <f t="shared" si="24"/>
        <v/>
      </c>
      <c r="AC11" s="8" t="str">
        <f t="shared" si="25"/>
        <v/>
      </c>
      <c r="AD11" s="8" t="str">
        <f t="shared" si="26"/>
        <v/>
      </c>
    </row>
    <row r="12">
      <c r="A12" s="7" t="s">
        <v>42</v>
      </c>
      <c r="B12" s="7" t="s">
        <v>36</v>
      </c>
      <c r="C12" s="10">
        <v>45968.0</v>
      </c>
      <c r="D12" s="9">
        <v>45975.0</v>
      </c>
      <c r="E12" s="8" t="str">
        <f t="shared" si="1"/>
        <v/>
      </c>
      <c r="F12" s="8" t="str">
        <f t="shared" si="2"/>
        <v/>
      </c>
      <c r="G12" s="8" t="str">
        <f t="shared" si="3"/>
        <v/>
      </c>
      <c r="H12" s="8" t="str">
        <f t="shared" si="4"/>
        <v>█</v>
      </c>
      <c r="I12" s="8" t="str">
        <f t="shared" si="5"/>
        <v>█</v>
      </c>
      <c r="J12" s="8" t="str">
        <f t="shared" si="6"/>
        <v/>
      </c>
      <c r="K12" s="8" t="str">
        <f t="shared" si="7"/>
        <v/>
      </c>
      <c r="L12" s="8" t="str">
        <f t="shared" si="8"/>
        <v/>
      </c>
      <c r="M12" s="8" t="str">
        <f t="shared" si="9"/>
        <v/>
      </c>
      <c r="N12" s="8" t="str">
        <f t="shared" si="10"/>
        <v/>
      </c>
      <c r="O12" s="8" t="str">
        <f t="shared" si="11"/>
        <v/>
      </c>
      <c r="P12" s="8" t="str">
        <f t="shared" si="12"/>
        <v/>
      </c>
      <c r="Q12" s="8" t="str">
        <f t="shared" si="13"/>
        <v/>
      </c>
      <c r="R12" s="8" t="str">
        <f t="shared" si="14"/>
        <v/>
      </c>
      <c r="S12" s="8" t="str">
        <f t="shared" si="15"/>
        <v/>
      </c>
      <c r="T12" s="8" t="str">
        <f t="shared" si="16"/>
        <v/>
      </c>
      <c r="U12" s="8" t="str">
        <f t="shared" si="17"/>
        <v/>
      </c>
      <c r="V12" s="8" t="str">
        <f t="shared" si="18"/>
        <v/>
      </c>
      <c r="W12" s="8" t="str">
        <f t="shared" si="19"/>
        <v/>
      </c>
      <c r="X12" s="8" t="str">
        <f t="shared" si="20"/>
        <v/>
      </c>
      <c r="Y12" s="8" t="str">
        <f t="shared" si="21"/>
        <v/>
      </c>
      <c r="Z12" s="8" t="str">
        <f t="shared" si="22"/>
        <v/>
      </c>
      <c r="AA12" s="8" t="str">
        <f t="shared" si="23"/>
        <v/>
      </c>
      <c r="AB12" s="8" t="str">
        <f t="shared" si="24"/>
        <v/>
      </c>
      <c r="AC12" s="8" t="str">
        <f t="shared" si="25"/>
        <v/>
      </c>
      <c r="AD12" s="8" t="str">
        <f t="shared" si="26"/>
        <v/>
      </c>
    </row>
    <row r="13">
      <c r="A13" s="7" t="s">
        <v>43</v>
      </c>
      <c r="B13" s="7" t="s">
        <v>38</v>
      </c>
      <c r="C13" s="10">
        <v>45968.0</v>
      </c>
      <c r="D13" s="9">
        <v>45982.0</v>
      </c>
      <c r="E13" s="8" t="str">
        <f t="shared" si="1"/>
        <v/>
      </c>
      <c r="F13" s="8" t="str">
        <f t="shared" si="2"/>
        <v/>
      </c>
      <c r="G13" s="8" t="str">
        <f t="shared" si="3"/>
        <v/>
      </c>
      <c r="H13" s="8" t="str">
        <f t="shared" si="4"/>
        <v>█</v>
      </c>
      <c r="I13" s="8" t="str">
        <f t="shared" si="5"/>
        <v>█</v>
      </c>
      <c r="J13" s="8" t="str">
        <f t="shared" si="6"/>
        <v>█</v>
      </c>
      <c r="K13" s="8" t="str">
        <f t="shared" si="7"/>
        <v/>
      </c>
      <c r="L13" s="8" t="str">
        <f t="shared" si="8"/>
        <v/>
      </c>
      <c r="M13" s="8" t="str">
        <f t="shared" si="9"/>
        <v/>
      </c>
      <c r="N13" s="8" t="str">
        <f t="shared" si="10"/>
        <v/>
      </c>
      <c r="O13" s="8" t="str">
        <f t="shared" si="11"/>
        <v/>
      </c>
      <c r="P13" s="8" t="str">
        <f t="shared" si="12"/>
        <v/>
      </c>
      <c r="Q13" s="8" t="str">
        <f t="shared" si="13"/>
        <v/>
      </c>
      <c r="R13" s="8" t="str">
        <f t="shared" si="14"/>
        <v/>
      </c>
      <c r="S13" s="8" t="str">
        <f t="shared" si="15"/>
        <v/>
      </c>
      <c r="T13" s="8" t="str">
        <f t="shared" si="16"/>
        <v/>
      </c>
      <c r="U13" s="8" t="str">
        <f t="shared" si="17"/>
        <v/>
      </c>
      <c r="V13" s="8" t="str">
        <f t="shared" si="18"/>
        <v/>
      </c>
      <c r="W13" s="8" t="str">
        <f t="shared" si="19"/>
        <v/>
      </c>
      <c r="X13" s="8" t="str">
        <f t="shared" si="20"/>
        <v/>
      </c>
      <c r="Y13" s="8" t="str">
        <f t="shared" si="21"/>
        <v/>
      </c>
      <c r="Z13" s="8" t="str">
        <f t="shared" si="22"/>
        <v/>
      </c>
      <c r="AA13" s="8" t="str">
        <f t="shared" si="23"/>
        <v/>
      </c>
      <c r="AB13" s="8" t="str">
        <f t="shared" si="24"/>
        <v/>
      </c>
      <c r="AC13" s="8" t="str">
        <f t="shared" si="25"/>
        <v/>
      </c>
      <c r="AD13" s="8" t="str">
        <f t="shared" si="26"/>
        <v/>
      </c>
    </row>
    <row r="14">
      <c r="A14" s="11" t="s">
        <v>44</v>
      </c>
      <c r="B14" s="12"/>
      <c r="C14" s="13">
        <v>45987.0</v>
      </c>
      <c r="D14" s="13">
        <v>46036.0</v>
      </c>
      <c r="E14" s="12" t="str">
        <f t="shared" si="1"/>
        <v/>
      </c>
      <c r="F14" s="12" t="str">
        <f t="shared" si="2"/>
        <v/>
      </c>
      <c r="G14" s="12" t="str">
        <f t="shared" si="3"/>
        <v/>
      </c>
      <c r="H14" s="12" t="str">
        <f t="shared" si="4"/>
        <v/>
      </c>
      <c r="I14" s="12" t="str">
        <f t="shared" si="5"/>
        <v/>
      </c>
      <c r="J14" s="12" t="str">
        <f t="shared" si="6"/>
        <v/>
      </c>
      <c r="K14" s="12" t="str">
        <f t="shared" si="7"/>
        <v>█</v>
      </c>
      <c r="L14" s="12" t="str">
        <f t="shared" si="8"/>
        <v>█</v>
      </c>
      <c r="M14" s="12" t="str">
        <f t="shared" si="9"/>
        <v>█</v>
      </c>
      <c r="N14" s="12" t="str">
        <f t="shared" si="10"/>
        <v>█</v>
      </c>
      <c r="O14" s="12" t="str">
        <f t="shared" si="11"/>
        <v>█</v>
      </c>
      <c r="P14" s="12" t="str">
        <f t="shared" si="12"/>
        <v>█</v>
      </c>
      <c r="Q14" s="12" t="str">
        <f t="shared" si="13"/>
        <v>█</v>
      </c>
      <c r="R14" s="12" t="str">
        <f t="shared" si="14"/>
        <v/>
      </c>
      <c r="S14" s="12" t="str">
        <f t="shared" si="15"/>
        <v/>
      </c>
      <c r="T14" s="12" t="str">
        <f t="shared" si="16"/>
        <v/>
      </c>
      <c r="U14" s="12" t="str">
        <f t="shared" si="17"/>
        <v/>
      </c>
      <c r="V14" s="12" t="str">
        <f t="shared" si="18"/>
        <v/>
      </c>
      <c r="W14" s="12" t="str">
        <f t="shared" si="19"/>
        <v/>
      </c>
      <c r="X14" s="12" t="str">
        <f t="shared" si="20"/>
        <v/>
      </c>
      <c r="Y14" s="12" t="str">
        <f t="shared" si="21"/>
        <v/>
      </c>
      <c r="Z14" s="12" t="str">
        <f t="shared" si="22"/>
        <v/>
      </c>
      <c r="AA14" s="12" t="str">
        <f t="shared" si="23"/>
        <v/>
      </c>
      <c r="AB14" s="12" t="str">
        <f t="shared" si="24"/>
        <v/>
      </c>
      <c r="AC14" s="12" t="str">
        <f t="shared" si="25"/>
        <v/>
      </c>
      <c r="AD14" s="12" t="str">
        <f t="shared" si="26"/>
        <v/>
      </c>
    </row>
    <row r="15">
      <c r="A15" s="11" t="s">
        <v>45</v>
      </c>
      <c r="B15" s="11" t="s">
        <v>36</v>
      </c>
      <c r="C15" s="13">
        <v>45987.0</v>
      </c>
      <c r="D15" s="14">
        <v>45996.0</v>
      </c>
      <c r="E15" s="12" t="str">
        <f t="shared" si="1"/>
        <v/>
      </c>
      <c r="F15" s="12" t="str">
        <f t="shared" si="2"/>
        <v/>
      </c>
      <c r="G15" s="12" t="str">
        <f t="shared" si="3"/>
        <v/>
      </c>
      <c r="H15" s="12" t="str">
        <f t="shared" si="4"/>
        <v/>
      </c>
      <c r="I15" s="12" t="str">
        <f t="shared" si="5"/>
        <v/>
      </c>
      <c r="J15" s="12" t="str">
        <f t="shared" si="6"/>
        <v/>
      </c>
      <c r="K15" s="12" t="str">
        <f t="shared" si="7"/>
        <v>█</v>
      </c>
      <c r="L15" s="12" t="str">
        <f t="shared" si="8"/>
        <v>█</v>
      </c>
      <c r="M15" s="12" t="str">
        <f t="shared" si="9"/>
        <v/>
      </c>
      <c r="N15" s="12" t="str">
        <f t="shared" si="10"/>
        <v/>
      </c>
      <c r="O15" s="12" t="str">
        <f t="shared" si="11"/>
        <v/>
      </c>
      <c r="P15" s="12" t="str">
        <f t="shared" si="12"/>
        <v/>
      </c>
      <c r="Q15" s="12" t="str">
        <f t="shared" si="13"/>
        <v/>
      </c>
      <c r="R15" s="12" t="str">
        <f t="shared" si="14"/>
        <v/>
      </c>
      <c r="S15" s="12" t="str">
        <f t="shared" si="15"/>
        <v/>
      </c>
      <c r="T15" s="12" t="str">
        <f t="shared" si="16"/>
        <v/>
      </c>
      <c r="U15" s="12" t="str">
        <f t="shared" si="17"/>
        <v/>
      </c>
      <c r="V15" s="12" t="str">
        <f t="shared" si="18"/>
        <v/>
      </c>
      <c r="W15" s="12" t="str">
        <f t="shared" si="19"/>
        <v/>
      </c>
      <c r="X15" s="12" t="str">
        <f t="shared" si="20"/>
        <v/>
      </c>
      <c r="Y15" s="12" t="str">
        <f t="shared" si="21"/>
        <v/>
      </c>
      <c r="Z15" s="12" t="str">
        <f t="shared" si="22"/>
        <v/>
      </c>
      <c r="AA15" s="12" t="str">
        <f t="shared" si="23"/>
        <v/>
      </c>
      <c r="AB15" s="12" t="str">
        <f t="shared" si="24"/>
        <v/>
      </c>
      <c r="AC15" s="12" t="str">
        <f t="shared" si="25"/>
        <v/>
      </c>
      <c r="AD15" s="12" t="str">
        <f t="shared" si="26"/>
        <v/>
      </c>
    </row>
    <row r="16">
      <c r="A16" s="11" t="s">
        <v>46</v>
      </c>
      <c r="B16" s="11" t="s">
        <v>38</v>
      </c>
      <c r="C16" s="13">
        <v>45987.0</v>
      </c>
      <c r="D16" s="13">
        <v>46001.0</v>
      </c>
      <c r="E16" s="12" t="str">
        <f t="shared" si="1"/>
        <v/>
      </c>
      <c r="F16" s="12" t="str">
        <f t="shared" si="2"/>
        <v/>
      </c>
      <c r="G16" s="12" t="str">
        <f t="shared" si="3"/>
        <v/>
      </c>
      <c r="H16" s="12" t="str">
        <f t="shared" si="4"/>
        <v/>
      </c>
      <c r="I16" s="12" t="str">
        <f t="shared" si="5"/>
        <v/>
      </c>
      <c r="J16" s="12" t="str">
        <f t="shared" si="6"/>
        <v/>
      </c>
      <c r="K16" s="12" t="str">
        <f t="shared" si="7"/>
        <v>█</v>
      </c>
      <c r="L16" s="12" t="str">
        <f t="shared" si="8"/>
        <v>█</v>
      </c>
      <c r="M16" s="12" t="str">
        <f t="shared" si="9"/>
        <v/>
      </c>
      <c r="N16" s="12" t="str">
        <f t="shared" si="10"/>
        <v/>
      </c>
      <c r="O16" s="12" t="str">
        <f t="shared" si="11"/>
        <v/>
      </c>
      <c r="P16" s="12" t="str">
        <f t="shared" si="12"/>
        <v/>
      </c>
      <c r="Q16" s="12" t="str">
        <f t="shared" si="13"/>
        <v/>
      </c>
      <c r="R16" s="12" t="str">
        <f t="shared" si="14"/>
        <v/>
      </c>
      <c r="S16" s="12" t="str">
        <f t="shared" si="15"/>
        <v/>
      </c>
      <c r="T16" s="12" t="str">
        <f t="shared" si="16"/>
        <v/>
      </c>
      <c r="U16" s="12" t="str">
        <f t="shared" si="17"/>
        <v/>
      </c>
      <c r="V16" s="12" t="str">
        <f t="shared" si="18"/>
        <v/>
      </c>
      <c r="W16" s="12" t="str">
        <f t="shared" si="19"/>
        <v/>
      </c>
      <c r="X16" s="12" t="str">
        <f t="shared" si="20"/>
        <v/>
      </c>
      <c r="Y16" s="12" t="str">
        <f t="shared" si="21"/>
        <v/>
      </c>
      <c r="Z16" s="12" t="str">
        <f t="shared" si="22"/>
        <v/>
      </c>
      <c r="AA16" s="12" t="str">
        <f t="shared" si="23"/>
        <v/>
      </c>
      <c r="AB16" s="12" t="str">
        <f t="shared" si="24"/>
        <v/>
      </c>
      <c r="AC16" s="12" t="str">
        <f t="shared" si="25"/>
        <v/>
      </c>
      <c r="AD16" s="12" t="str">
        <f t="shared" si="26"/>
        <v/>
      </c>
    </row>
    <row r="17">
      <c r="A17" s="11" t="s">
        <v>47</v>
      </c>
      <c r="B17" s="11" t="s">
        <v>40</v>
      </c>
      <c r="C17" s="13">
        <v>45987.0</v>
      </c>
      <c r="D17" s="13">
        <v>46001.0</v>
      </c>
      <c r="E17" s="12" t="str">
        <f t="shared" si="1"/>
        <v/>
      </c>
      <c r="F17" s="12" t="str">
        <f t="shared" si="2"/>
        <v/>
      </c>
      <c r="G17" s="12" t="str">
        <f t="shared" si="3"/>
        <v/>
      </c>
      <c r="H17" s="12" t="str">
        <f t="shared" si="4"/>
        <v/>
      </c>
      <c r="I17" s="12" t="str">
        <f t="shared" si="5"/>
        <v/>
      </c>
      <c r="J17" s="12" t="str">
        <f t="shared" si="6"/>
        <v/>
      </c>
      <c r="K17" s="12" t="str">
        <f t="shared" si="7"/>
        <v>█</v>
      </c>
      <c r="L17" s="12" t="str">
        <f t="shared" si="8"/>
        <v>█</v>
      </c>
      <c r="M17" s="12" t="str">
        <f t="shared" si="9"/>
        <v/>
      </c>
      <c r="N17" s="12" t="str">
        <f t="shared" si="10"/>
        <v/>
      </c>
      <c r="O17" s="12" t="str">
        <f t="shared" si="11"/>
        <v/>
      </c>
      <c r="P17" s="12" t="str">
        <f t="shared" si="12"/>
        <v/>
      </c>
      <c r="Q17" s="12" t="str">
        <f t="shared" si="13"/>
        <v/>
      </c>
      <c r="R17" s="12" t="str">
        <f t="shared" si="14"/>
        <v/>
      </c>
      <c r="S17" s="12" t="str">
        <f t="shared" si="15"/>
        <v/>
      </c>
      <c r="T17" s="12" t="str">
        <f t="shared" si="16"/>
        <v/>
      </c>
      <c r="U17" s="12" t="str">
        <f t="shared" si="17"/>
        <v/>
      </c>
      <c r="V17" s="12" t="str">
        <f t="shared" si="18"/>
        <v/>
      </c>
      <c r="W17" s="12" t="str">
        <f t="shared" si="19"/>
        <v/>
      </c>
      <c r="X17" s="12" t="str">
        <f t="shared" si="20"/>
        <v/>
      </c>
      <c r="Y17" s="12" t="str">
        <f t="shared" si="21"/>
        <v/>
      </c>
      <c r="Z17" s="12" t="str">
        <f t="shared" si="22"/>
        <v/>
      </c>
      <c r="AA17" s="12" t="str">
        <f t="shared" si="23"/>
        <v/>
      </c>
      <c r="AB17" s="12" t="str">
        <f t="shared" si="24"/>
        <v/>
      </c>
      <c r="AC17" s="12" t="str">
        <f t="shared" si="25"/>
        <v/>
      </c>
      <c r="AD17" s="12" t="str">
        <f t="shared" si="26"/>
        <v/>
      </c>
    </row>
    <row r="18">
      <c r="A18" s="11" t="s">
        <v>48</v>
      </c>
      <c r="B18" s="11" t="s">
        <v>36</v>
      </c>
      <c r="C18" s="14">
        <v>45996.0</v>
      </c>
      <c r="D18" s="13">
        <v>46010.0</v>
      </c>
      <c r="E18" s="12" t="str">
        <f t="shared" si="1"/>
        <v/>
      </c>
      <c r="F18" s="12" t="str">
        <f t="shared" si="2"/>
        <v/>
      </c>
      <c r="G18" s="12" t="str">
        <f t="shared" si="3"/>
        <v/>
      </c>
      <c r="H18" s="12" t="str">
        <f t="shared" si="4"/>
        <v/>
      </c>
      <c r="I18" s="12" t="str">
        <f t="shared" si="5"/>
        <v/>
      </c>
      <c r="J18" s="12" t="str">
        <f t="shared" si="6"/>
        <v/>
      </c>
      <c r="K18" s="12" t="str">
        <f t="shared" si="7"/>
        <v/>
      </c>
      <c r="L18" s="12" t="str">
        <f t="shared" si="8"/>
        <v>█</v>
      </c>
      <c r="M18" s="12" t="str">
        <f t="shared" si="9"/>
        <v>█</v>
      </c>
      <c r="N18" s="12" t="str">
        <f t="shared" si="10"/>
        <v>█</v>
      </c>
      <c r="O18" s="12" t="str">
        <f t="shared" si="11"/>
        <v/>
      </c>
      <c r="P18" s="12" t="str">
        <f t="shared" si="12"/>
        <v/>
      </c>
      <c r="Q18" s="12" t="str">
        <f t="shared" si="13"/>
        <v/>
      </c>
      <c r="R18" s="12" t="str">
        <f t="shared" si="14"/>
        <v/>
      </c>
      <c r="S18" s="12" t="str">
        <f t="shared" si="15"/>
        <v/>
      </c>
      <c r="T18" s="12" t="str">
        <f t="shared" si="16"/>
        <v/>
      </c>
      <c r="U18" s="12" t="str">
        <f t="shared" si="17"/>
        <v/>
      </c>
      <c r="V18" s="12" t="str">
        <f t="shared" si="18"/>
        <v/>
      </c>
      <c r="W18" s="12" t="str">
        <f t="shared" si="19"/>
        <v/>
      </c>
      <c r="X18" s="12" t="str">
        <f t="shared" si="20"/>
        <v/>
      </c>
      <c r="Y18" s="12" t="str">
        <f t="shared" si="21"/>
        <v/>
      </c>
      <c r="Z18" s="12" t="str">
        <f t="shared" si="22"/>
        <v/>
      </c>
      <c r="AA18" s="12" t="str">
        <f t="shared" si="23"/>
        <v/>
      </c>
      <c r="AB18" s="12" t="str">
        <f t="shared" si="24"/>
        <v/>
      </c>
      <c r="AC18" s="12" t="str">
        <f t="shared" si="25"/>
        <v/>
      </c>
      <c r="AD18" s="12" t="str">
        <f t="shared" si="26"/>
        <v/>
      </c>
    </row>
    <row r="19">
      <c r="A19" s="11" t="s">
        <v>49</v>
      </c>
      <c r="B19" s="11" t="s">
        <v>36</v>
      </c>
      <c r="C19" s="13">
        <v>46001.0</v>
      </c>
      <c r="D19" s="13">
        <v>46015.0</v>
      </c>
      <c r="E19" s="12" t="str">
        <f t="shared" si="1"/>
        <v/>
      </c>
      <c r="F19" s="12" t="str">
        <f t="shared" si="2"/>
        <v/>
      </c>
      <c r="G19" s="12" t="str">
        <f t="shared" si="3"/>
        <v/>
      </c>
      <c r="H19" s="12" t="str">
        <f t="shared" si="4"/>
        <v/>
      </c>
      <c r="I19" s="12" t="str">
        <f t="shared" si="5"/>
        <v/>
      </c>
      <c r="J19" s="12" t="str">
        <f t="shared" si="6"/>
        <v/>
      </c>
      <c r="K19" s="12" t="str">
        <f t="shared" si="7"/>
        <v/>
      </c>
      <c r="L19" s="12" t="str">
        <f t="shared" si="8"/>
        <v/>
      </c>
      <c r="M19" s="12" t="str">
        <f t="shared" si="9"/>
        <v>█</v>
      </c>
      <c r="N19" s="12" t="str">
        <f t="shared" si="10"/>
        <v>█</v>
      </c>
      <c r="O19" s="12" t="str">
        <f t="shared" si="11"/>
        <v/>
      </c>
      <c r="P19" s="12" t="str">
        <f t="shared" si="12"/>
        <v/>
      </c>
      <c r="Q19" s="12" t="str">
        <f t="shared" si="13"/>
        <v/>
      </c>
      <c r="R19" s="12" t="str">
        <f t="shared" si="14"/>
        <v/>
      </c>
      <c r="S19" s="12" t="str">
        <f t="shared" si="15"/>
        <v/>
      </c>
      <c r="T19" s="12" t="str">
        <f t="shared" si="16"/>
        <v/>
      </c>
      <c r="U19" s="12" t="str">
        <f t="shared" si="17"/>
        <v/>
      </c>
      <c r="V19" s="12" t="str">
        <f t="shared" si="18"/>
        <v/>
      </c>
      <c r="W19" s="12" t="str">
        <f t="shared" si="19"/>
        <v/>
      </c>
      <c r="X19" s="12" t="str">
        <f t="shared" si="20"/>
        <v/>
      </c>
      <c r="Y19" s="12" t="str">
        <f t="shared" si="21"/>
        <v/>
      </c>
      <c r="Z19" s="12" t="str">
        <f t="shared" si="22"/>
        <v/>
      </c>
      <c r="AA19" s="12" t="str">
        <f t="shared" si="23"/>
        <v/>
      </c>
      <c r="AB19" s="12" t="str">
        <f t="shared" si="24"/>
        <v/>
      </c>
      <c r="AC19" s="12" t="str">
        <f t="shared" si="25"/>
        <v/>
      </c>
      <c r="AD19" s="12" t="str">
        <f t="shared" si="26"/>
        <v/>
      </c>
    </row>
    <row r="20">
      <c r="A20" s="11" t="s">
        <v>50</v>
      </c>
      <c r="B20" s="11" t="s">
        <v>36</v>
      </c>
      <c r="C20" s="13">
        <v>46015.0</v>
      </c>
      <c r="D20" s="13">
        <v>46036.0</v>
      </c>
      <c r="E20" s="12" t="str">
        <f t="shared" si="1"/>
        <v/>
      </c>
      <c r="F20" s="12" t="str">
        <f t="shared" si="2"/>
        <v/>
      </c>
      <c r="G20" s="12" t="str">
        <f t="shared" si="3"/>
        <v/>
      </c>
      <c r="H20" s="12" t="str">
        <f t="shared" si="4"/>
        <v/>
      </c>
      <c r="I20" s="12" t="str">
        <f t="shared" si="5"/>
        <v/>
      </c>
      <c r="J20" s="12" t="str">
        <f t="shared" si="6"/>
        <v/>
      </c>
      <c r="K20" s="12" t="str">
        <f t="shared" si="7"/>
        <v/>
      </c>
      <c r="L20" s="12" t="str">
        <f t="shared" si="8"/>
        <v/>
      </c>
      <c r="M20" s="12" t="str">
        <f t="shared" si="9"/>
        <v/>
      </c>
      <c r="N20" s="12" t="str">
        <f t="shared" si="10"/>
        <v/>
      </c>
      <c r="O20" s="12" t="str">
        <f t="shared" si="11"/>
        <v>█</v>
      </c>
      <c r="P20" s="12" t="str">
        <f t="shared" si="12"/>
        <v>█</v>
      </c>
      <c r="Q20" s="12" t="str">
        <f t="shared" si="13"/>
        <v>█</v>
      </c>
      <c r="R20" s="12" t="str">
        <f t="shared" si="14"/>
        <v/>
      </c>
      <c r="S20" s="12" t="str">
        <f t="shared" si="15"/>
        <v/>
      </c>
      <c r="T20" s="12" t="str">
        <f t="shared" si="16"/>
        <v/>
      </c>
      <c r="U20" s="12" t="str">
        <f t="shared" si="17"/>
        <v/>
      </c>
      <c r="V20" s="12" t="str">
        <f t="shared" si="18"/>
        <v/>
      </c>
      <c r="W20" s="12" t="str">
        <f t="shared" si="19"/>
        <v/>
      </c>
      <c r="X20" s="12" t="str">
        <f t="shared" si="20"/>
        <v/>
      </c>
      <c r="Y20" s="12" t="str">
        <f t="shared" si="21"/>
        <v/>
      </c>
      <c r="Z20" s="12" t="str">
        <f t="shared" si="22"/>
        <v/>
      </c>
      <c r="AA20" s="12" t="str">
        <f t="shared" si="23"/>
        <v/>
      </c>
      <c r="AB20" s="12" t="str">
        <f t="shared" si="24"/>
        <v/>
      </c>
      <c r="AC20" s="12" t="str">
        <f t="shared" si="25"/>
        <v/>
      </c>
      <c r="AD20" s="12" t="str">
        <f t="shared" si="26"/>
        <v/>
      </c>
    </row>
    <row r="21">
      <c r="A21" s="15" t="s">
        <v>51</v>
      </c>
      <c r="B21" s="16"/>
      <c r="C21" s="17">
        <v>46038.0</v>
      </c>
      <c r="D21" s="18">
        <v>46087.0</v>
      </c>
      <c r="E21" s="16" t="str">
        <f t="shared" si="1"/>
        <v/>
      </c>
      <c r="F21" s="16" t="str">
        <f t="shared" si="2"/>
        <v/>
      </c>
      <c r="G21" s="16" t="str">
        <f t="shared" si="3"/>
        <v/>
      </c>
      <c r="H21" s="16" t="str">
        <f t="shared" si="4"/>
        <v/>
      </c>
      <c r="I21" s="16" t="str">
        <f t="shared" si="5"/>
        <v/>
      </c>
      <c r="J21" s="16" t="str">
        <f t="shared" si="6"/>
        <v/>
      </c>
      <c r="K21" s="16" t="str">
        <f t="shared" si="7"/>
        <v/>
      </c>
      <c r="L21" s="16" t="str">
        <f t="shared" si="8"/>
        <v/>
      </c>
      <c r="M21" s="16" t="str">
        <f t="shared" si="9"/>
        <v/>
      </c>
      <c r="N21" s="16" t="str">
        <f t="shared" si="10"/>
        <v/>
      </c>
      <c r="O21" s="16" t="str">
        <f t="shared" si="11"/>
        <v/>
      </c>
      <c r="P21" s="16" t="str">
        <f t="shared" si="12"/>
        <v/>
      </c>
      <c r="Q21" s="16" t="str">
        <f t="shared" si="13"/>
        <v/>
      </c>
      <c r="R21" s="16" t="str">
        <f t="shared" si="14"/>
        <v>█</v>
      </c>
      <c r="S21" s="16" t="str">
        <f t="shared" si="15"/>
        <v>█</v>
      </c>
      <c r="T21" s="16" t="str">
        <f t="shared" si="16"/>
        <v>█</v>
      </c>
      <c r="U21" s="16" t="str">
        <f t="shared" si="17"/>
        <v>█</v>
      </c>
      <c r="V21" s="16" t="str">
        <f t="shared" si="18"/>
        <v>█</v>
      </c>
      <c r="W21" s="16" t="str">
        <f t="shared" si="19"/>
        <v>█</v>
      </c>
      <c r="X21" s="16" t="str">
        <f t="shared" si="20"/>
        <v>█</v>
      </c>
      <c r="Y21" s="16" t="str">
        <f t="shared" si="21"/>
        <v>█</v>
      </c>
      <c r="Z21" s="16" t="str">
        <f t="shared" si="22"/>
        <v/>
      </c>
      <c r="AA21" s="16" t="str">
        <f t="shared" si="23"/>
        <v/>
      </c>
      <c r="AB21" s="16" t="str">
        <f t="shared" si="24"/>
        <v/>
      </c>
      <c r="AC21" s="16" t="str">
        <f t="shared" si="25"/>
        <v/>
      </c>
      <c r="AD21" s="16" t="str">
        <f t="shared" si="26"/>
        <v/>
      </c>
    </row>
    <row r="22">
      <c r="A22" s="15" t="s">
        <v>52</v>
      </c>
      <c r="B22" s="15" t="s">
        <v>38</v>
      </c>
      <c r="C22" s="17">
        <v>46038.0</v>
      </c>
      <c r="D22" s="17">
        <v>46052.0</v>
      </c>
      <c r="E22" s="16" t="str">
        <f t="shared" si="1"/>
        <v/>
      </c>
      <c r="F22" s="16" t="str">
        <f t="shared" si="2"/>
        <v/>
      </c>
      <c r="G22" s="16" t="str">
        <f t="shared" si="3"/>
        <v/>
      </c>
      <c r="H22" s="16" t="str">
        <f t="shared" si="4"/>
        <v/>
      </c>
      <c r="I22" s="16" t="str">
        <f t="shared" si="5"/>
        <v/>
      </c>
      <c r="J22" s="16" t="str">
        <f t="shared" si="6"/>
        <v/>
      </c>
      <c r="K22" s="16" t="str">
        <f t="shared" si="7"/>
        <v/>
      </c>
      <c r="L22" s="16" t="str">
        <f t="shared" si="8"/>
        <v/>
      </c>
      <c r="M22" s="16" t="str">
        <f t="shared" si="9"/>
        <v/>
      </c>
      <c r="N22" s="16" t="str">
        <f t="shared" si="10"/>
        <v/>
      </c>
      <c r="O22" s="16" t="str">
        <f t="shared" si="11"/>
        <v/>
      </c>
      <c r="P22" s="16" t="str">
        <f t="shared" si="12"/>
        <v/>
      </c>
      <c r="Q22" s="16" t="str">
        <f t="shared" si="13"/>
        <v/>
      </c>
      <c r="R22" s="16" t="str">
        <f t="shared" si="14"/>
        <v>█</v>
      </c>
      <c r="S22" s="16" t="str">
        <f t="shared" si="15"/>
        <v>█</v>
      </c>
      <c r="T22" s="16" t="str">
        <f t="shared" si="16"/>
        <v>█</v>
      </c>
      <c r="U22" s="16" t="str">
        <f t="shared" si="17"/>
        <v/>
      </c>
      <c r="V22" s="16" t="str">
        <f t="shared" si="18"/>
        <v/>
      </c>
      <c r="W22" s="16" t="str">
        <f t="shared" si="19"/>
        <v/>
      </c>
      <c r="X22" s="16" t="str">
        <f t="shared" si="20"/>
        <v/>
      </c>
      <c r="Y22" s="16" t="str">
        <f t="shared" si="21"/>
        <v/>
      </c>
      <c r="Z22" s="16" t="str">
        <f t="shared" si="22"/>
        <v/>
      </c>
      <c r="AA22" s="16" t="str">
        <f t="shared" si="23"/>
        <v/>
      </c>
      <c r="AB22" s="16" t="str">
        <f t="shared" si="24"/>
        <v/>
      </c>
      <c r="AC22" s="16" t="str">
        <f t="shared" si="25"/>
        <v/>
      </c>
      <c r="AD22" s="16" t="str">
        <f t="shared" si="26"/>
        <v/>
      </c>
    </row>
    <row r="23">
      <c r="A23" s="15" t="s">
        <v>53</v>
      </c>
      <c r="B23" s="15" t="s">
        <v>40</v>
      </c>
      <c r="C23" s="17">
        <v>46038.0</v>
      </c>
      <c r="D23" s="18">
        <v>46059.0</v>
      </c>
      <c r="E23" s="16" t="str">
        <f t="shared" si="1"/>
        <v/>
      </c>
      <c r="F23" s="16" t="str">
        <f t="shared" si="2"/>
        <v/>
      </c>
      <c r="G23" s="16" t="str">
        <f t="shared" si="3"/>
        <v/>
      </c>
      <c r="H23" s="16" t="str">
        <f t="shared" si="4"/>
        <v/>
      </c>
      <c r="I23" s="16" t="str">
        <f t="shared" si="5"/>
        <v/>
      </c>
      <c r="J23" s="16" t="str">
        <f t="shared" si="6"/>
        <v/>
      </c>
      <c r="K23" s="16" t="str">
        <f t="shared" si="7"/>
        <v/>
      </c>
      <c r="L23" s="16" t="str">
        <f t="shared" si="8"/>
        <v/>
      </c>
      <c r="M23" s="16" t="str">
        <f t="shared" si="9"/>
        <v/>
      </c>
      <c r="N23" s="16" t="str">
        <f t="shared" si="10"/>
        <v/>
      </c>
      <c r="O23" s="16" t="str">
        <f t="shared" si="11"/>
        <v/>
      </c>
      <c r="P23" s="16" t="str">
        <f t="shared" si="12"/>
        <v/>
      </c>
      <c r="Q23" s="16" t="str">
        <f t="shared" si="13"/>
        <v/>
      </c>
      <c r="R23" s="16" t="str">
        <f t="shared" si="14"/>
        <v>█</v>
      </c>
      <c r="S23" s="16" t="str">
        <f t="shared" si="15"/>
        <v>█</v>
      </c>
      <c r="T23" s="16" t="str">
        <f t="shared" si="16"/>
        <v>█</v>
      </c>
      <c r="U23" s="16" t="str">
        <f t="shared" si="17"/>
        <v>█</v>
      </c>
      <c r="V23" s="16" t="str">
        <f t="shared" si="18"/>
        <v/>
      </c>
      <c r="W23" s="16" t="str">
        <f t="shared" si="19"/>
        <v/>
      </c>
      <c r="X23" s="16" t="str">
        <f t="shared" si="20"/>
        <v/>
      </c>
      <c r="Y23" s="16" t="str">
        <f t="shared" si="21"/>
        <v/>
      </c>
      <c r="Z23" s="16" t="str">
        <f t="shared" si="22"/>
        <v/>
      </c>
      <c r="AA23" s="16" t="str">
        <f t="shared" si="23"/>
        <v/>
      </c>
      <c r="AB23" s="16" t="str">
        <f t="shared" si="24"/>
        <v/>
      </c>
      <c r="AC23" s="16" t="str">
        <f t="shared" si="25"/>
        <v/>
      </c>
      <c r="AD23" s="16" t="str">
        <f t="shared" si="26"/>
        <v/>
      </c>
    </row>
    <row r="24">
      <c r="A24" s="15" t="s">
        <v>54</v>
      </c>
      <c r="B24" s="15" t="s">
        <v>36</v>
      </c>
      <c r="C24" s="17">
        <v>46052.0</v>
      </c>
      <c r="D24" s="17">
        <v>46066.0</v>
      </c>
      <c r="E24" s="16" t="str">
        <f t="shared" si="1"/>
        <v/>
      </c>
      <c r="F24" s="16" t="str">
        <f t="shared" si="2"/>
        <v/>
      </c>
      <c r="G24" s="16" t="str">
        <f t="shared" si="3"/>
        <v/>
      </c>
      <c r="H24" s="16" t="str">
        <f t="shared" si="4"/>
        <v/>
      </c>
      <c r="I24" s="16" t="str">
        <f t="shared" si="5"/>
        <v/>
      </c>
      <c r="J24" s="16" t="str">
        <f t="shared" si="6"/>
        <v/>
      </c>
      <c r="K24" s="16" t="str">
        <f t="shared" si="7"/>
        <v/>
      </c>
      <c r="L24" s="16" t="str">
        <f t="shared" si="8"/>
        <v/>
      </c>
      <c r="M24" s="16" t="str">
        <f t="shared" si="9"/>
        <v/>
      </c>
      <c r="N24" s="16" t="str">
        <f t="shared" si="10"/>
        <v/>
      </c>
      <c r="O24" s="16" t="str">
        <f t="shared" si="11"/>
        <v/>
      </c>
      <c r="P24" s="16" t="str">
        <f t="shared" si="12"/>
        <v/>
      </c>
      <c r="Q24" s="16" t="str">
        <f t="shared" si="13"/>
        <v/>
      </c>
      <c r="R24" s="16" t="str">
        <f t="shared" si="14"/>
        <v/>
      </c>
      <c r="S24" s="16" t="str">
        <f t="shared" si="15"/>
        <v/>
      </c>
      <c r="T24" s="16" t="str">
        <f t="shared" si="16"/>
        <v>█</v>
      </c>
      <c r="U24" s="16" t="str">
        <f t="shared" si="17"/>
        <v>█</v>
      </c>
      <c r="V24" s="16" t="str">
        <f t="shared" si="18"/>
        <v>█</v>
      </c>
      <c r="W24" s="16" t="str">
        <f t="shared" si="19"/>
        <v/>
      </c>
      <c r="X24" s="16" t="str">
        <f t="shared" si="20"/>
        <v/>
      </c>
      <c r="Y24" s="16" t="str">
        <f t="shared" si="21"/>
        <v/>
      </c>
      <c r="Z24" s="16" t="str">
        <f t="shared" si="22"/>
        <v/>
      </c>
      <c r="AA24" s="16" t="str">
        <f t="shared" si="23"/>
        <v/>
      </c>
      <c r="AB24" s="16" t="str">
        <f t="shared" si="24"/>
        <v/>
      </c>
      <c r="AC24" s="16" t="str">
        <f t="shared" si="25"/>
        <v/>
      </c>
      <c r="AD24" s="16" t="str">
        <f t="shared" si="26"/>
        <v/>
      </c>
    </row>
    <row r="25">
      <c r="A25" s="15" t="s">
        <v>55</v>
      </c>
      <c r="B25" s="15" t="s">
        <v>36</v>
      </c>
      <c r="C25" s="17">
        <v>46066.0</v>
      </c>
      <c r="D25" s="17">
        <v>46073.0</v>
      </c>
      <c r="E25" s="16" t="str">
        <f t="shared" si="1"/>
        <v/>
      </c>
      <c r="F25" s="16" t="str">
        <f t="shared" si="2"/>
        <v/>
      </c>
      <c r="G25" s="16" t="str">
        <f t="shared" si="3"/>
        <v/>
      </c>
      <c r="H25" s="16" t="str">
        <f t="shared" si="4"/>
        <v/>
      </c>
      <c r="I25" s="16" t="str">
        <f t="shared" si="5"/>
        <v/>
      </c>
      <c r="J25" s="16" t="str">
        <f t="shared" si="6"/>
        <v/>
      </c>
      <c r="K25" s="16" t="str">
        <f t="shared" si="7"/>
        <v/>
      </c>
      <c r="L25" s="16" t="str">
        <f t="shared" si="8"/>
        <v/>
      </c>
      <c r="M25" s="16" t="str">
        <f t="shared" si="9"/>
        <v/>
      </c>
      <c r="N25" s="16" t="str">
        <f t="shared" si="10"/>
        <v/>
      </c>
      <c r="O25" s="16" t="str">
        <f t="shared" si="11"/>
        <v/>
      </c>
      <c r="P25" s="16" t="str">
        <f t="shared" si="12"/>
        <v/>
      </c>
      <c r="Q25" s="16" t="str">
        <f t="shared" si="13"/>
        <v/>
      </c>
      <c r="R25" s="16" t="str">
        <f t="shared" si="14"/>
        <v/>
      </c>
      <c r="S25" s="16" t="str">
        <f t="shared" si="15"/>
        <v/>
      </c>
      <c r="T25" s="16" t="str">
        <f t="shared" si="16"/>
        <v/>
      </c>
      <c r="U25" s="16" t="str">
        <f t="shared" si="17"/>
        <v/>
      </c>
      <c r="V25" s="16" t="str">
        <f t="shared" si="18"/>
        <v>█</v>
      </c>
      <c r="W25" s="16" t="str">
        <f t="shared" si="19"/>
        <v>█</v>
      </c>
      <c r="X25" s="16" t="str">
        <f t="shared" si="20"/>
        <v/>
      </c>
      <c r="Y25" s="16" t="str">
        <f t="shared" si="21"/>
        <v/>
      </c>
      <c r="Z25" s="16" t="str">
        <f t="shared" si="22"/>
        <v/>
      </c>
      <c r="AA25" s="16" t="str">
        <f t="shared" si="23"/>
        <v/>
      </c>
      <c r="AB25" s="16" t="str">
        <f t="shared" si="24"/>
        <v/>
      </c>
      <c r="AC25" s="16" t="str">
        <f t="shared" si="25"/>
        <v/>
      </c>
      <c r="AD25" s="16" t="str">
        <f t="shared" si="26"/>
        <v/>
      </c>
    </row>
    <row r="26">
      <c r="A26" s="15" t="s">
        <v>56</v>
      </c>
      <c r="B26" s="15" t="s">
        <v>38</v>
      </c>
      <c r="C26" s="17">
        <v>46066.0</v>
      </c>
      <c r="D26" s="18">
        <v>46087.0</v>
      </c>
      <c r="E26" s="16" t="str">
        <f t="shared" si="1"/>
        <v/>
      </c>
      <c r="F26" s="16" t="str">
        <f t="shared" si="2"/>
        <v/>
      </c>
      <c r="G26" s="16" t="str">
        <f t="shared" si="3"/>
        <v/>
      </c>
      <c r="H26" s="16" t="str">
        <f t="shared" si="4"/>
        <v/>
      </c>
      <c r="I26" s="16" t="str">
        <f t="shared" si="5"/>
        <v/>
      </c>
      <c r="J26" s="16" t="str">
        <f t="shared" si="6"/>
        <v/>
      </c>
      <c r="K26" s="16" t="str">
        <f t="shared" si="7"/>
        <v/>
      </c>
      <c r="L26" s="16" t="str">
        <f t="shared" si="8"/>
        <v/>
      </c>
      <c r="M26" s="16" t="str">
        <f t="shared" si="9"/>
        <v/>
      </c>
      <c r="N26" s="16" t="str">
        <f t="shared" si="10"/>
        <v/>
      </c>
      <c r="O26" s="16" t="str">
        <f t="shared" si="11"/>
        <v/>
      </c>
      <c r="P26" s="16" t="str">
        <f t="shared" si="12"/>
        <v/>
      </c>
      <c r="Q26" s="16" t="str">
        <f t="shared" si="13"/>
        <v/>
      </c>
      <c r="R26" s="16" t="str">
        <f t="shared" si="14"/>
        <v/>
      </c>
      <c r="S26" s="16" t="str">
        <f t="shared" si="15"/>
        <v/>
      </c>
      <c r="T26" s="16" t="str">
        <f t="shared" si="16"/>
        <v/>
      </c>
      <c r="U26" s="16" t="str">
        <f t="shared" si="17"/>
        <v/>
      </c>
      <c r="V26" s="16" t="str">
        <f t="shared" si="18"/>
        <v>█</v>
      </c>
      <c r="W26" s="16" t="str">
        <f t="shared" si="19"/>
        <v>█</v>
      </c>
      <c r="X26" s="16" t="str">
        <f t="shared" si="20"/>
        <v>█</v>
      </c>
      <c r="Y26" s="16" t="str">
        <f t="shared" si="21"/>
        <v>█</v>
      </c>
      <c r="Z26" s="16" t="str">
        <f t="shared" si="22"/>
        <v/>
      </c>
      <c r="AA26" s="16" t="str">
        <f t="shared" si="23"/>
        <v/>
      </c>
      <c r="AB26" s="16" t="str">
        <f t="shared" si="24"/>
        <v/>
      </c>
      <c r="AC26" s="16" t="str">
        <f t="shared" si="25"/>
        <v/>
      </c>
      <c r="AD26" s="16" t="str">
        <f t="shared" si="26"/>
        <v/>
      </c>
    </row>
    <row r="27">
      <c r="A27" s="19" t="s">
        <v>57</v>
      </c>
      <c r="B27" s="20"/>
      <c r="C27" s="21">
        <v>46089.0</v>
      </c>
      <c r="D27" s="22">
        <v>46122.0</v>
      </c>
      <c r="E27" s="20" t="str">
        <f t="shared" si="1"/>
        <v/>
      </c>
      <c r="F27" s="20" t="str">
        <f t="shared" si="2"/>
        <v/>
      </c>
      <c r="G27" s="20" t="str">
        <f t="shared" si="3"/>
        <v/>
      </c>
      <c r="H27" s="20" t="str">
        <f t="shared" si="4"/>
        <v/>
      </c>
      <c r="I27" s="20" t="str">
        <f t="shared" si="5"/>
        <v/>
      </c>
      <c r="J27" s="20" t="str">
        <f t="shared" si="6"/>
        <v/>
      </c>
      <c r="K27" s="20" t="str">
        <f t="shared" si="7"/>
        <v/>
      </c>
      <c r="L27" s="20" t="str">
        <f t="shared" si="8"/>
        <v/>
      </c>
      <c r="M27" s="20" t="str">
        <f t="shared" si="9"/>
        <v/>
      </c>
      <c r="N27" s="20" t="str">
        <f t="shared" si="10"/>
        <v/>
      </c>
      <c r="O27" s="20" t="str">
        <f t="shared" si="11"/>
        <v/>
      </c>
      <c r="P27" s="20" t="str">
        <f t="shared" si="12"/>
        <v/>
      </c>
      <c r="Q27" s="20" t="str">
        <f t="shared" si="13"/>
        <v/>
      </c>
      <c r="R27" s="20" t="str">
        <f t="shared" si="14"/>
        <v/>
      </c>
      <c r="S27" s="20" t="str">
        <f t="shared" si="15"/>
        <v/>
      </c>
      <c r="T27" s="20" t="str">
        <f t="shared" si="16"/>
        <v/>
      </c>
      <c r="U27" s="20" t="str">
        <f t="shared" si="17"/>
        <v/>
      </c>
      <c r="V27" s="20" t="str">
        <f t="shared" si="18"/>
        <v/>
      </c>
      <c r="W27" s="20" t="str">
        <f t="shared" si="19"/>
        <v/>
      </c>
      <c r="X27" s="20" t="str">
        <f t="shared" si="20"/>
        <v/>
      </c>
      <c r="Y27" s="20" t="str">
        <f t="shared" si="21"/>
        <v/>
      </c>
      <c r="Z27" s="20" t="str">
        <f t="shared" si="22"/>
        <v>█</v>
      </c>
      <c r="AA27" s="20" t="str">
        <f t="shared" si="23"/>
        <v>█</v>
      </c>
      <c r="AB27" s="20" t="str">
        <f t="shared" si="24"/>
        <v>█</v>
      </c>
      <c r="AC27" s="20" t="str">
        <f t="shared" si="25"/>
        <v>█</v>
      </c>
      <c r="AD27" s="20" t="str">
        <f t="shared" si="26"/>
        <v>█</v>
      </c>
    </row>
    <row r="28">
      <c r="A28" s="19" t="s">
        <v>58</v>
      </c>
      <c r="B28" s="19" t="s">
        <v>40</v>
      </c>
      <c r="C28" s="21">
        <v>46089.0</v>
      </c>
      <c r="D28" s="22">
        <v>46101.0</v>
      </c>
      <c r="E28" s="20" t="str">
        <f t="shared" si="1"/>
        <v/>
      </c>
      <c r="F28" s="20" t="str">
        <f t="shared" si="2"/>
        <v/>
      </c>
      <c r="G28" s="20" t="str">
        <f t="shared" si="3"/>
        <v/>
      </c>
      <c r="H28" s="20" t="str">
        <f t="shared" si="4"/>
        <v/>
      </c>
      <c r="I28" s="20" t="str">
        <f t="shared" si="5"/>
        <v/>
      </c>
      <c r="J28" s="20" t="str">
        <f t="shared" si="6"/>
        <v/>
      </c>
      <c r="K28" s="20" t="str">
        <f t="shared" si="7"/>
        <v/>
      </c>
      <c r="L28" s="20" t="str">
        <f t="shared" si="8"/>
        <v/>
      </c>
      <c r="M28" s="20" t="str">
        <f t="shared" si="9"/>
        <v/>
      </c>
      <c r="N28" s="20" t="str">
        <f t="shared" si="10"/>
        <v/>
      </c>
      <c r="O28" s="20" t="str">
        <f t="shared" si="11"/>
        <v/>
      </c>
      <c r="P28" s="20" t="str">
        <f t="shared" si="12"/>
        <v/>
      </c>
      <c r="Q28" s="20" t="str">
        <f t="shared" si="13"/>
        <v/>
      </c>
      <c r="R28" s="20" t="str">
        <f t="shared" si="14"/>
        <v/>
      </c>
      <c r="S28" s="20" t="str">
        <f t="shared" si="15"/>
        <v/>
      </c>
      <c r="T28" s="20" t="str">
        <f t="shared" si="16"/>
        <v/>
      </c>
      <c r="U28" s="20" t="str">
        <f t="shared" si="17"/>
        <v/>
      </c>
      <c r="V28" s="20" t="str">
        <f t="shared" si="18"/>
        <v/>
      </c>
      <c r="W28" s="20" t="str">
        <f t="shared" si="19"/>
        <v/>
      </c>
      <c r="X28" s="20" t="str">
        <f t="shared" si="20"/>
        <v/>
      </c>
      <c r="Y28" s="20" t="str">
        <f t="shared" si="21"/>
        <v/>
      </c>
      <c r="Z28" s="20" t="str">
        <f t="shared" si="22"/>
        <v>█</v>
      </c>
      <c r="AA28" s="20" t="str">
        <f t="shared" si="23"/>
        <v>█</v>
      </c>
      <c r="AB28" s="20" t="str">
        <f t="shared" si="24"/>
        <v/>
      </c>
      <c r="AC28" s="20" t="str">
        <f t="shared" si="25"/>
        <v/>
      </c>
      <c r="AD28" s="20" t="str">
        <f t="shared" si="26"/>
        <v/>
      </c>
    </row>
    <row r="29">
      <c r="A29" s="19" t="s">
        <v>59</v>
      </c>
      <c r="B29" s="19" t="s">
        <v>36</v>
      </c>
      <c r="C29" s="21">
        <v>46089.0</v>
      </c>
      <c r="D29" s="22">
        <v>46103.0</v>
      </c>
      <c r="E29" s="20" t="str">
        <f t="shared" si="1"/>
        <v/>
      </c>
      <c r="F29" s="20" t="str">
        <f t="shared" si="2"/>
        <v/>
      </c>
      <c r="G29" s="20" t="str">
        <f t="shared" si="3"/>
        <v/>
      </c>
      <c r="H29" s="20" t="str">
        <f t="shared" si="4"/>
        <v/>
      </c>
      <c r="I29" s="20" t="str">
        <f t="shared" si="5"/>
        <v/>
      </c>
      <c r="J29" s="20" t="str">
        <f t="shared" si="6"/>
        <v/>
      </c>
      <c r="K29" s="20" t="str">
        <f t="shared" si="7"/>
        <v/>
      </c>
      <c r="L29" s="20" t="str">
        <f t="shared" si="8"/>
        <v/>
      </c>
      <c r="M29" s="20" t="str">
        <f t="shared" si="9"/>
        <v/>
      </c>
      <c r="N29" s="20" t="str">
        <f t="shared" si="10"/>
        <v/>
      </c>
      <c r="O29" s="20" t="str">
        <f t="shared" si="11"/>
        <v/>
      </c>
      <c r="P29" s="20" t="str">
        <f t="shared" si="12"/>
        <v/>
      </c>
      <c r="Q29" s="20" t="str">
        <f t="shared" si="13"/>
        <v/>
      </c>
      <c r="R29" s="20" t="str">
        <f t="shared" si="14"/>
        <v/>
      </c>
      <c r="S29" s="20" t="str">
        <f t="shared" si="15"/>
        <v/>
      </c>
      <c r="T29" s="20" t="str">
        <f t="shared" si="16"/>
        <v/>
      </c>
      <c r="U29" s="20" t="str">
        <f t="shared" si="17"/>
        <v/>
      </c>
      <c r="V29" s="20" t="str">
        <f t="shared" si="18"/>
        <v/>
      </c>
      <c r="W29" s="20" t="str">
        <f t="shared" si="19"/>
        <v/>
      </c>
      <c r="X29" s="20" t="str">
        <f t="shared" si="20"/>
        <v/>
      </c>
      <c r="Y29" s="20" t="str">
        <f t="shared" si="21"/>
        <v/>
      </c>
      <c r="Z29" s="20" t="str">
        <f t="shared" si="22"/>
        <v>█</v>
      </c>
      <c r="AA29" s="20" t="str">
        <f t="shared" si="23"/>
        <v>█</v>
      </c>
      <c r="AB29" s="20" t="str">
        <f t="shared" si="24"/>
        <v/>
      </c>
      <c r="AC29" s="20" t="str">
        <f t="shared" si="25"/>
        <v/>
      </c>
      <c r="AD29" s="20" t="str">
        <f t="shared" si="26"/>
        <v/>
      </c>
    </row>
    <row r="30">
      <c r="A30" s="19" t="s">
        <v>60</v>
      </c>
      <c r="B30" s="19" t="s">
        <v>38</v>
      </c>
      <c r="C30" s="21">
        <v>46089.0</v>
      </c>
      <c r="D30" s="22">
        <v>46103.0</v>
      </c>
      <c r="E30" s="20" t="str">
        <f t="shared" si="1"/>
        <v/>
      </c>
      <c r="F30" s="20" t="str">
        <f t="shared" si="2"/>
        <v/>
      </c>
      <c r="G30" s="20" t="str">
        <f t="shared" si="3"/>
        <v/>
      </c>
      <c r="H30" s="20" t="str">
        <f t="shared" si="4"/>
        <v/>
      </c>
      <c r="I30" s="20" t="str">
        <f t="shared" si="5"/>
        <v/>
      </c>
      <c r="J30" s="20" t="str">
        <f t="shared" si="6"/>
        <v/>
      </c>
      <c r="K30" s="20" t="str">
        <f t="shared" si="7"/>
        <v/>
      </c>
      <c r="L30" s="20" t="str">
        <f t="shared" si="8"/>
        <v/>
      </c>
      <c r="M30" s="20" t="str">
        <f t="shared" si="9"/>
        <v/>
      </c>
      <c r="N30" s="20" t="str">
        <f t="shared" si="10"/>
        <v/>
      </c>
      <c r="O30" s="20" t="str">
        <f t="shared" si="11"/>
        <v/>
      </c>
      <c r="P30" s="20" t="str">
        <f t="shared" si="12"/>
        <v/>
      </c>
      <c r="Q30" s="20" t="str">
        <f t="shared" si="13"/>
        <v/>
      </c>
      <c r="R30" s="20" t="str">
        <f t="shared" si="14"/>
        <v/>
      </c>
      <c r="S30" s="20" t="str">
        <f t="shared" si="15"/>
        <v/>
      </c>
      <c r="T30" s="20" t="str">
        <f t="shared" si="16"/>
        <v/>
      </c>
      <c r="U30" s="20" t="str">
        <f t="shared" si="17"/>
        <v/>
      </c>
      <c r="V30" s="20" t="str">
        <f t="shared" si="18"/>
        <v/>
      </c>
      <c r="W30" s="20" t="str">
        <f t="shared" si="19"/>
        <v/>
      </c>
      <c r="X30" s="20" t="str">
        <f t="shared" si="20"/>
        <v/>
      </c>
      <c r="Y30" s="20" t="str">
        <f t="shared" si="21"/>
        <v/>
      </c>
      <c r="Z30" s="20" t="str">
        <f t="shared" si="22"/>
        <v>█</v>
      </c>
      <c r="AA30" s="20" t="str">
        <f t="shared" si="23"/>
        <v>█</v>
      </c>
      <c r="AB30" s="20" t="str">
        <f t="shared" si="24"/>
        <v/>
      </c>
      <c r="AC30" s="20" t="str">
        <f t="shared" si="25"/>
        <v/>
      </c>
      <c r="AD30" s="20" t="str">
        <f t="shared" si="26"/>
        <v/>
      </c>
    </row>
    <row r="31">
      <c r="A31" s="19" t="s">
        <v>61</v>
      </c>
      <c r="B31" s="19" t="s">
        <v>36</v>
      </c>
      <c r="C31" s="22">
        <v>46103.0</v>
      </c>
      <c r="D31" s="21">
        <v>46115.0</v>
      </c>
      <c r="E31" s="20" t="str">
        <f t="shared" si="1"/>
        <v/>
      </c>
      <c r="F31" s="20" t="str">
        <f t="shared" si="2"/>
        <v/>
      </c>
      <c r="G31" s="20" t="str">
        <f t="shared" si="3"/>
        <v/>
      </c>
      <c r="H31" s="20" t="str">
        <f t="shared" si="4"/>
        <v/>
      </c>
      <c r="I31" s="20" t="str">
        <f t="shared" si="5"/>
        <v/>
      </c>
      <c r="J31" s="20" t="str">
        <f t="shared" si="6"/>
        <v/>
      </c>
      <c r="K31" s="20" t="str">
        <f t="shared" si="7"/>
        <v/>
      </c>
      <c r="L31" s="20" t="str">
        <f t="shared" si="8"/>
        <v/>
      </c>
      <c r="M31" s="20" t="str">
        <f t="shared" si="9"/>
        <v/>
      </c>
      <c r="N31" s="20" t="str">
        <f t="shared" si="10"/>
        <v/>
      </c>
      <c r="O31" s="20" t="str">
        <f t="shared" si="11"/>
        <v/>
      </c>
      <c r="P31" s="20" t="str">
        <f t="shared" si="12"/>
        <v/>
      </c>
      <c r="Q31" s="20" t="str">
        <f t="shared" si="13"/>
        <v/>
      </c>
      <c r="R31" s="20" t="str">
        <f t="shared" si="14"/>
        <v/>
      </c>
      <c r="S31" s="20" t="str">
        <f t="shared" si="15"/>
        <v/>
      </c>
      <c r="T31" s="20" t="str">
        <f t="shared" si="16"/>
        <v/>
      </c>
      <c r="U31" s="20" t="str">
        <f t="shared" si="17"/>
        <v/>
      </c>
      <c r="V31" s="20" t="str">
        <f t="shared" si="18"/>
        <v/>
      </c>
      <c r="W31" s="20" t="str">
        <f t="shared" si="19"/>
        <v/>
      </c>
      <c r="X31" s="20" t="str">
        <f t="shared" si="20"/>
        <v/>
      </c>
      <c r="Y31" s="20" t="str">
        <f t="shared" si="21"/>
        <v/>
      </c>
      <c r="Z31" s="20" t="str">
        <f t="shared" si="22"/>
        <v/>
      </c>
      <c r="AA31" s="20" t="str">
        <f t="shared" si="23"/>
        <v/>
      </c>
      <c r="AB31" s="20" t="str">
        <f t="shared" si="24"/>
        <v>█</v>
      </c>
      <c r="AC31" s="20" t="str">
        <f t="shared" si="25"/>
        <v>█</v>
      </c>
      <c r="AD31" s="20" t="str">
        <f t="shared" si="26"/>
        <v/>
      </c>
    </row>
    <row r="32">
      <c r="A32" s="19" t="s">
        <v>62</v>
      </c>
      <c r="B32" s="19" t="s">
        <v>38</v>
      </c>
      <c r="C32" s="22">
        <v>46103.0</v>
      </c>
      <c r="D32" s="22">
        <v>46122.0</v>
      </c>
      <c r="E32" s="20" t="str">
        <f t="shared" si="1"/>
        <v/>
      </c>
      <c r="F32" s="20" t="str">
        <f t="shared" si="2"/>
        <v/>
      </c>
      <c r="G32" s="20" t="str">
        <f t="shared" si="3"/>
        <v/>
      </c>
      <c r="H32" s="20" t="str">
        <f t="shared" si="4"/>
        <v/>
      </c>
      <c r="I32" s="20" t="str">
        <f t="shared" si="5"/>
        <v/>
      </c>
      <c r="J32" s="20" t="str">
        <f t="shared" si="6"/>
        <v/>
      </c>
      <c r="K32" s="20" t="str">
        <f t="shared" si="7"/>
        <v/>
      </c>
      <c r="L32" s="20" t="str">
        <f t="shared" si="8"/>
        <v/>
      </c>
      <c r="M32" s="20" t="str">
        <f t="shared" si="9"/>
        <v/>
      </c>
      <c r="N32" s="20" t="str">
        <f t="shared" si="10"/>
        <v/>
      </c>
      <c r="O32" s="20" t="str">
        <f t="shared" si="11"/>
        <v/>
      </c>
      <c r="P32" s="20" t="str">
        <f t="shared" si="12"/>
        <v/>
      </c>
      <c r="Q32" s="20" t="str">
        <f t="shared" si="13"/>
        <v/>
      </c>
      <c r="R32" s="20" t="str">
        <f t="shared" si="14"/>
        <v/>
      </c>
      <c r="S32" s="20" t="str">
        <f t="shared" si="15"/>
        <v/>
      </c>
      <c r="T32" s="20" t="str">
        <f t="shared" si="16"/>
        <v/>
      </c>
      <c r="U32" s="20" t="str">
        <f t="shared" si="17"/>
        <v/>
      </c>
      <c r="V32" s="20" t="str">
        <f t="shared" si="18"/>
        <v/>
      </c>
      <c r="W32" s="20" t="str">
        <f t="shared" si="19"/>
        <v/>
      </c>
      <c r="X32" s="20" t="str">
        <f t="shared" si="20"/>
        <v/>
      </c>
      <c r="Y32" s="20" t="str">
        <f t="shared" si="21"/>
        <v/>
      </c>
      <c r="Z32" s="20" t="str">
        <f t="shared" si="22"/>
        <v/>
      </c>
      <c r="AA32" s="20" t="str">
        <f t="shared" si="23"/>
        <v/>
      </c>
      <c r="AB32" s="20" t="str">
        <f t="shared" si="24"/>
        <v>█</v>
      </c>
      <c r="AC32" s="20" t="str">
        <f t="shared" si="25"/>
        <v>█</v>
      </c>
      <c r="AD32" s="20" t="str">
        <f t="shared" si="26"/>
        <v>█</v>
      </c>
    </row>
    <row r="33">
      <c r="A33" s="23" t="s">
        <v>63</v>
      </c>
      <c r="B33" s="24"/>
      <c r="C33" s="25">
        <v>46122.0</v>
      </c>
      <c r="D33" s="25">
        <v>46129.0</v>
      </c>
      <c r="E33" s="24" t="str">
        <f t="shared" si="1"/>
        <v/>
      </c>
      <c r="F33" s="24" t="str">
        <f t="shared" si="2"/>
        <v/>
      </c>
      <c r="G33" s="24" t="str">
        <f t="shared" si="3"/>
        <v/>
      </c>
      <c r="H33" s="24" t="str">
        <f t="shared" si="4"/>
        <v/>
      </c>
      <c r="I33" s="24" t="str">
        <f t="shared" si="5"/>
        <v/>
      </c>
      <c r="J33" s="24" t="str">
        <f t="shared" si="6"/>
        <v/>
      </c>
      <c r="K33" s="24" t="str">
        <f t="shared" si="7"/>
        <v/>
      </c>
      <c r="L33" s="24" t="str">
        <f t="shared" si="8"/>
        <v/>
      </c>
      <c r="M33" s="24" t="str">
        <f t="shared" si="9"/>
        <v/>
      </c>
      <c r="N33" s="24" t="str">
        <f t="shared" si="10"/>
        <v/>
      </c>
      <c r="O33" s="24" t="str">
        <f t="shared" si="11"/>
        <v/>
      </c>
      <c r="P33" s="24" t="str">
        <f t="shared" si="12"/>
        <v/>
      </c>
      <c r="Q33" s="24" t="str">
        <f t="shared" si="13"/>
        <v/>
      </c>
      <c r="R33" s="24" t="str">
        <f t="shared" si="14"/>
        <v/>
      </c>
      <c r="S33" s="24" t="str">
        <f t="shared" si="15"/>
        <v/>
      </c>
      <c r="T33" s="24" t="str">
        <f t="shared" si="16"/>
        <v/>
      </c>
      <c r="U33" s="24" t="str">
        <f t="shared" si="17"/>
        <v/>
      </c>
      <c r="V33" s="24" t="str">
        <f t="shared" si="18"/>
        <v/>
      </c>
      <c r="W33" s="24" t="str">
        <f t="shared" si="19"/>
        <v/>
      </c>
      <c r="X33" s="24" t="str">
        <f t="shared" si="20"/>
        <v/>
      </c>
      <c r="Y33" s="24" t="str">
        <f t="shared" si="21"/>
        <v/>
      </c>
      <c r="Z33" s="24" t="str">
        <f t="shared" si="22"/>
        <v/>
      </c>
      <c r="AA33" s="24" t="str">
        <f t="shared" si="23"/>
        <v/>
      </c>
      <c r="AB33" s="24" t="str">
        <f t="shared" si="24"/>
        <v/>
      </c>
      <c r="AC33" s="24" t="str">
        <f t="shared" si="25"/>
        <v/>
      </c>
      <c r="AD33" s="24" t="str">
        <f t="shared" si="26"/>
        <v>█</v>
      </c>
    </row>
    <row r="34">
      <c r="A34" s="23" t="s">
        <v>64</v>
      </c>
      <c r="B34" s="23" t="s">
        <v>38</v>
      </c>
      <c r="C34" s="25">
        <v>46122.0</v>
      </c>
      <c r="D34" s="25">
        <v>46125.0</v>
      </c>
      <c r="E34" s="24" t="str">
        <f t="shared" si="1"/>
        <v/>
      </c>
      <c r="F34" s="24" t="str">
        <f t="shared" si="2"/>
        <v/>
      </c>
      <c r="G34" s="24" t="str">
        <f t="shared" si="3"/>
        <v/>
      </c>
      <c r="H34" s="24" t="str">
        <f t="shared" si="4"/>
        <v/>
      </c>
      <c r="I34" s="24" t="str">
        <f t="shared" si="5"/>
        <v/>
      </c>
      <c r="J34" s="24" t="str">
        <f t="shared" si="6"/>
        <v/>
      </c>
      <c r="K34" s="24" t="str">
        <f t="shared" si="7"/>
        <v/>
      </c>
      <c r="L34" s="24" t="str">
        <f t="shared" si="8"/>
        <v/>
      </c>
      <c r="M34" s="24" t="str">
        <f t="shared" si="9"/>
        <v/>
      </c>
      <c r="N34" s="24" t="str">
        <f t="shared" si="10"/>
        <v/>
      </c>
      <c r="O34" s="24" t="str">
        <f t="shared" si="11"/>
        <v/>
      </c>
      <c r="P34" s="24" t="str">
        <f t="shared" si="12"/>
        <v/>
      </c>
      <c r="Q34" s="24" t="str">
        <f t="shared" si="13"/>
        <v/>
      </c>
      <c r="R34" s="24" t="str">
        <f t="shared" si="14"/>
        <v/>
      </c>
      <c r="S34" s="24" t="str">
        <f t="shared" si="15"/>
        <v/>
      </c>
      <c r="T34" s="24" t="str">
        <f t="shared" si="16"/>
        <v/>
      </c>
      <c r="U34" s="24" t="str">
        <f t="shared" si="17"/>
        <v/>
      </c>
      <c r="V34" s="24" t="str">
        <f t="shared" si="18"/>
        <v/>
      </c>
      <c r="W34" s="24" t="str">
        <f t="shared" si="19"/>
        <v/>
      </c>
      <c r="X34" s="24" t="str">
        <f t="shared" si="20"/>
        <v/>
      </c>
      <c r="Y34" s="24" t="str">
        <f t="shared" si="21"/>
        <v/>
      </c>
      <c r="Z34" s="24" t="str">
        <f t="shared" si="22"/>
        <v/>
      </c>
      <c r="AA34" s="24" t="str">
        <f t="shared" si="23"/>
        <v/>
      </c>
      <c r="AB34" s="24" t="str">
        <f t="shared" si="24"/>
        <v/>
      </c>
      <c r="AC34" s="24" t="str">
        <f t="shared" si="25"/>
        <v/>
      </c>
      <c r="AD34" s="24" t="str">
        <f t="shared" si="26"/>
        <v>█</v>
      </c>
    </row>
    <row r="35">
      <c r="A35" s="23" t="s">
        <v>65</v>
      </c>
      <c r="B35" s="23" t="s">
        <v>36</v>
      </c>
      <c r="C35" s="25">
        <v>46122.0</v>
      </c>
      <c r="D35" s="25">
        <v>46125.0</v>
      </c>
      <c r="E35" s="24" t="str">
        <f t="shared" si="1"/>
        <v/>
      </c>
      <c r="F35" s="24" t="str">
        <f t="shared" si="2"/>
        <v/>
      </c>
      <c r="G35" s="24" t="str">
        <f t="shared" si="3"/>
        <v/>
      </c>
      <c r="H35" s="24" t="str">
        <f t="shared" si="4"/>
        <v/>
      </c>
      <c r="I35" s="24" t="str">
        <f t="shared" si="5"/>
        <v/>
      </c>
      <c r="J35" s="24" t="str">
        <f t="shared" si="6"/>
        <v/>
      </c>
      <c r="K35" s="24" t="str">
        <f t="shared" si="7"/>
        <v/>
      </c>
      <c r="L35" s="24" t="str">
        <f t="shared" si="8"/>
        <v/>
      </c>
      <c r="M35" s="24" t="str">
        <f t="shared" si="9"/>
        <v/>
      </c>
      <c r="N35" s="24" t="str">
        <f t="shared" si="10"/>
        <v/>
      </c>
      <c r="O35" s="24" t="str">
        <f t="shared" si="11"/>
        <v/>
      </c>
      <c r="P35" s="24" t="str">
        <f t="shared" si="12"/>
        <v/>
      </c>
      <c r="Q35" s="24" t="str">
        <f t="shared" si="13"/>
        <v/>
      </c>
      <c r="R35" s="24" t="str">
        <f t="shared" si="14"/>
        <v/>
      </c>
      <c r="S35" s="24" t="str">
        <f t="shared" si="15"/>
        <v/>
      </c>
      <c r="T35" s="24" t="str">
        <f t="shared" si="16"/>
        <v/>
      </c>
      <c r="U35" s="24" t="str">
        <f t="shared" si="17"/>
        <v/>
      </c>
      <c r="V35" s="24" t="str">
        <f t="shared" si="18"/>
        <v/>
      </c>
      <c r="W35" s="24" t="str">
        <f t="shared" si="19"/>
        <v/>
      </c>
      <c r="X35" s="24" t="str">
        <f t="shared" si="20"/>
        <v/>
      </c>
      <c r="Y35" s="24" t="str">
        <f t="shared" si="21"/>
        <v/>
      </c>
      <c r="Z35" s="24" t="str">
        <f t="shared" si="22"/>
        <v/>
      </c>
      <c r="AA35" s="24" t="str">
        <f t="shared" si="23"/>
        <v/>
      </c>
      <c r="AB35" s="24" t="str">
        <f t="shared" si="24"/>
        <v/>
      </c>
      <c r="AC35" s="24" t="str">
        <f t="shared" si="25"/>
        <v/>
      </c>
      <c r="AD35" s="24" t="str">
        <f t="shared" si="26"/>
        <v>█</v>
      </c>
    </row>
    <row r="36">
      <c r="A36" s="23" t="s">
        <v>66</v>
      </c>
      <c r="B36" s="23" t="s">
        <v>36</v>
      </c>
      <c r="C36" s="25">
        <v>46122.0</v>
      </c>
      <c r="D36" s="25">
        <v>46126.0</v>
      </c>
      <c r="E36" s="24" t="str">
        <f t="shared" si="1"/>
        <v/>
      </c>
      <c r="F36" s="24" t="str">
        <f t="shared" si="2"/>
        <v/>
      </c>
      <c r="G36" s="24" t="str">
        <f t="shared" si="3"/>
        <v/>
      </c>
      <c r="H36" s="24" t="str">
        <f t="shared" si="4"/>
        <v/>
      </c>
      <c r="I36" s="24" t="str">
        <f t="shared" si="5"/>
        <v/>
      </c>
      <c r="J36" s="24" t="str">
        <f t="shared" si="6"/>
        <v/>
      </c>
      <c r="K36" s="24" t="str">
        <f t="shared" si="7"/>
        <v/>
      </c>
      <c r="L36" s="24" t="str">
        <f t="shared" si="8"/>
        <v/>
      </c>
      <c r="M36" s="24" t="str">
        <f t="shared" si="9"/>
        <v/>
      </c>
      <c r="N36" s="24" t="str">
        <f t="shared" si="10"/>
        <v/>
      </c>
      <c r="O36" s="24" t="str">
        <f t="shared" si="11"/>
        <v/>
      </c>
      <c r="P36" s="24" t="str">
        <f t="shared" si="12"/>
        <v/>
      </c>
      <c r="Q36" s="24" t="str">
        <f t="shared" si="13"/>
        <v/>
      </c>
      <c r="R36" s="24" t="str">
        <f t="shared" si="14"/>
        <v/>
      </c>
      <c r="S36" s="24" t="str">
        <f t="shared" si="15"/>
        <v/>
      </c>
      <c r="T36" s="24" t="str">
        <f t="shared" si="16"/>
        <v/>
      </c>
      <c r="U36" s="24" t="str">
        <f t="shared" si="17"/>
        <v/>
      </c>
      <c r="V36" s="24" t="str">
        <f t="shared" si="18"/>
        <v/>
      </c>
      <c r="W36" s="24" t="str">
        <f t="shared" si="19"/>
        <v/>
      </c>
      <c r="X36" s="24" t="str">
        <f t="shared" si="20"/>
        <v/>
      </c>
      <c r="Y36" s="24" t="str">
        <f t="shared" si="21"/>
        <v/>
      </c>
      <c r="Z36" s="24" t="str">
        <f t="shared" si="22"/>
        <v/>
      </c>
      <c r="AA36" s="24" t="str">
        <f t="shared" si="23"/>
        <v/>
      </c>
      <c r="AB36" s="24" t="str">
        <f t="shared" si="24"/>
        <v/>
      </c>
      <c r="AC36" s="24" t="str">
        <f t="shared" si="25"/>
        <v/>
      </c>
      <c r="AD36" s="24" t="str">
        <f t="shared" si="26"/>
        <v>█</v>
      </c>
    </row>
    <row r="37">
      <c r="A37" s="23" t="s">
        <v>67</v>
      </c>
      <c r="B37" s="23" t="s">
        <v>40</v>
      </c>
      <c r="C37" s="25">
        <v>46122.0</v>
      </c>
      <c r="D37" s="25">
        <v>46126.0</v>
      </c>
      <c r="E37" s="24" t="str">
        <f t="shared" si="1"/>
        <v/>
      </c>
      <c r="F37" s="24" t="str">
        <f t="shared" si="2"/>
        <v/>
      </c>
      <c r="G37" s="24" t="str">
        <f t="shared" si="3"/>
        <v/>
      </c>
      <c r="H37" s="24" t="str">
        <f t="shared" si="4"/>
        <v/>
      </c>
      <c r="I37" s="24" t="str">
        <f t="shared" si="5"/>
        <v/>
      </c>
      <c r="J37" s="24" t="str">
        <f t="shared" si="6"/>
        <v/>
      </c>
      <c r="K37" s="24" t="str">
        <f t="shared" si="7"/>
        <v/>
      </c>
      <c r="L37" s="24" t="str">
        <f t="shared" si="8"/>
        <v/>
      </c>
      <c r="M37" s="24" t="str">
        <f t="shared" si="9"/>
        <v/>
      </c>
      <c r="N37" s="24" t="str">
        <f t="shared" si="10"/>
        <v/>
      </c>
      <c r="O37" s="24" t="str">
        <f t="shared" si="11"/>
        <v/>
      </c>
      <c r="P37" s="24" t="str">
        <f t="shared" si="12"/>
        <v/>
      </c>
      <c r="Q37" s="24" t="str">
        <f t="shared" si="13"/>
        <v/>
      </c>
      <c r="R37" s="24" t="str">
        <f t="shared" si="14"/>
        <v/>
      </c>
      <c r="S37" s="24" t="str">
        <f t="shared" si="15"/>
        <v/>
      </c>
      <c r="T37" s="24" t="str">
        <f t="shared" si="16"/>
        <v/>
      </c>
      <c r="U37" s="24" t="str">
        <f t="shared" si="17"/>
        <v/>
      </c>
      <c r="V37" s="24" t="str">
        <f t="shared" si="18"/>
        <v/>
      </c>
      <c r="W37" s="24" t="str">
        <f t="shared" si="19"/>
        <v/>
      </c>
      <c r="X37" s="24" t="str">
        <f t="shared" si="20"/>
        <v/>
      </c>
      <c r="Y37" s="24" t="str">
        <f t="shared" si="21"/>
        <v/>
      </c>
      <c r="Z37" s="24" t="str">
        <f t="shared" si="22"/>
        <v/>
      </c>
      <c r="AA37" s="24" t="str">
        <f t="shared" si="23"/>
        <v/>
      </c>
      <c r="AB37" s="24" t="str">
        <f t="shared" si="24"/>
        <v/>
      </c>
      <c r="AC37" s="24" t="str">
        <f t="shared" si="25"/>
        <v/>
      </c>
      <c r="AD37" s="24" t="str">
        <f t="shared" si="26"/>
        <v>█</v>
      </c>
    </row>
    <row r="38">
      <c r="A38" s="23" t="s">
        <v>68</v>
      </c>
      <c r="B38" s="23" t="s">
        <v>36</v>
      </c>
      <c r="C38" s="25">
        <v>46122.0</v>
      </c>
      <c r="D38" s="25">
        <v>46128.0</v>
      </c>
      <c r="E38" s="24" t="str">
        <f t="shared" si="1"/>
        <v/>
      </c>
      <c r="F38" s="24" t="str">
        <f t="shared" si="2"/>
        <v/>
      </c>
      <c r="G38" s="24" t="str">
        <f t="shared" si="3"/>
        <v/>
      </c>
      <c r="H38" s="24" t="str">
        <f t="shared" si="4"/>
        <v/>
      </c>
      <c r="I38" s="24" t="str">
        <f t="shared" si="5"/>
        <v/>
      </c>
      <c r="J38" s="24" t="str">
        <f t="shared" si="6"/>
        <v/>
      </c>
      <c r="K38" s="24" t="str">
        <f t="shared" si="7"/>
        <v/>
      </c>
      <c r="L38" s="24" t="str">
        <f t="shared" si="8"/>
        <v/>
      </c>
      <c r="M38" s="24" t="str">
        <f t="shared" si="9"/>
        <v/>
      </c>
      <c r="N38" s="24" t="str">
        <f t="shared" si="10"/>
        <v/>
      </c>
      <c r="O38" s="24" t="str">
        <f t="shared" si="11"/>
        <v/>
      </c>
      <c r="P38" s="24" t="str">
        <f t="shared" si="12"/>
        <v/>
      </c>
      <c r="Q38" s="24" t="str">
        <f t="shared" si="13"/>
        <v/>
      </c>
      <c r="R38" s="24" t="str">
        <f t="shared" si="14"/>
        <v/>
      </c>
      <c r="S38" s="24" t="str">
        <f t="shared" si="15"/>
        <v/>
      </c>
      <c r="T38" s="24" t="str">
        <f t="shared" si="16"/>
        <v/>
      </c>
      <c r="U38" s="24" t="str">
        <f t="shared" si="17"/>
        <v/>
      </c>
      <c r="V38" s="24" t="str">
        <f t="shared" si="18"/>
        <v/>
      </c>
      <c r="W38" s="24" t="str">
        <f t="shared" si="19"/>
        <v/>
      </c>
      <c r="X38" s="24" t="str">
        <f t="shared" si="20"/>
        <v/>
      </c>
      <c r="Y38" s="24" t="str">
        <f t="shared" si="21"/>
        <v/>
      </c>
      <c r="Z38" s="24" t="str">
        <f t="shared" si="22"/>
        <v/>
      </c>
      <c r="AA38" s="24" t="str">
        <f t="shared" si="23"/>
        <v/>
      </c>
      <c r="AB38" s="24" t="str">
        <f t="shared" si="24"/>
        <v/>
      </c>
      <c r="AC38" s="24" t="str">
        <f t="shared" si="25"/>
        <v/>
      </c>
      <c r="AD38" s="24" t="str">
        <f t="shared" si="26"/>
        <v>█</v>
      </c>
    </row>
    <row r="39">
      <c r="A39" s="23" t="s">
        <v>69</v>
      </c>
      <c r="B39" s="23" t="s">
        <v>38</v>
      </c>
      <c r="C39" s="25">
        <v>46122.0</v>
      </c>
      <c r="D39" s="25">
        <v>46128.0</v>
      </c>
      <c r="E39" s="24" t="str">
        <f t="shared" si="1"/>
        <v/>
      </c>
      <c r="F39" s="24" t="str">
        <f t="shared" si="2"/>
        <v/>
      </c>
      <c r="G39" s="24" t="str">
        <f t="shared" si="3"/>
        <v/>
      </c>
      <c r="H39" s="24" t="str">
        <f t="shared" si="4"/>
        <v/>
      </c>
      <c r="I39" s="24" t="str">
        <f t="shared" si="5"/>
        <v/>
      </c>
      <c r="J39" s="24" t="str">
        <f t="shared" si="6"/>
        <v/>
      </c>
      <c r="K39" s="24" t="str">
        <f t="shared" si="7"/>
        <v/>
      </c>
      <c r="L39" s="24" t="str">
        <f t="shared" si="8"/>
        <v/>
      </c>
      <c r="M39" s="24" t="str">
        <f t="shared" si="9"/>
        <v/>
      </c>
      <c r="N39" s="24" t="str">
        <f t="shared" si="10"/>
        <v/>
      </c>
      <c r="O39" s="24" t="str">
        <f t="shared" si="11"/>
        <v/>
      </c>
      <c r="P39" s="24" t="str">
        <f t="shared" si="12"/>
        <v/>
      </c>
      <c r="Q39" s="24" t="str">
        <f t="shared" si="13"/>
        <v/>
      </c>
      <c r="R39" s="24" t="str">
        <f t="shared" si="14"/>
        <v/>
      </c>
      <c r="S39" s="24" t="str">
        <f t="shared" si="15"/>
        <v/>
      </c>
      <c r="T39" s="24" t="str">
        <f t="shared" si="16"/>
        <v/>
      </c>
      <c r="U39" s="24" t="str">
        <f t="shared" si="17"/>
        <v/>
      </c>
      <c r="V39" s="24" t="str">
        <f t="shared" si="18"/>
        <v/>
      </c>
      <c r="W39" s="24" t="str">
        <f t="shared" si="19"/>
        <v/>
      </c>
      <c r="X39" s="24" t="str">
        <f t="shared" si="20"/>
        <v/>
      </c>
      <c r="Y39" s="24" t="str">
        <f t="shared" si="21"/>
        <v/>
      </c>
      <c r="Z39" s="24" t="str">
        <f t="shared" si="22"/>
        <v/>
      </c>
      <c r="AA39" s="24" t="str">
        <f t="shared" si="23"/>
        <v/>
      </c>
      <c r="AB39" s="24" t="str">
        <f t="shared" si="24"/>
        <v/>
      </c>
      <c r="AC39" s="24" t="str">
        <f t="shared" si="25"/>
        <v/>
      </c>
      <c r="AD39" s="24" t="str">
        <f t="shared" si="26"/>
        <v>█</v>
      </c>
    </row>
    <row r="40">
      <c r="A40" s="23" t="s">
        <v>70</v>
      </c>
      <c r="B40" s="23" t="s">
        <v>71</v>
      </c>
      <c r="C40" s="25">
        <v>46125.0</v>
      </c>
      <c r="D40" s="25">
        <v>46129.0</v>
      </c>
      <c r="E40" s="24" t="str">
        <f t="shared" si="1"/>
        <v/>
      </c>
      <c r="F40" s="24" t="str">
        <f t="shared" si="2"/>
        <v/>
      </c>
      <c r="G40" s="24" t="str">
        <f t="shared" si="3"/>
        <v/>
      </c>
      <c r="H40" s="24" t="str">
        <f t="shared" si="4"/>
        <v/>
      </c>
      <c r="I40" s="24" t="str">
        <f t="shared" si="5"/>
        <v/>
      </c>
      <c r="J40" s="24" t="str">
        <f t="shared" si="6"/>
        <v/>
      </c>
      <c r="K40" s="24" t="str">
        <f t="shared" si="7"/>
        <v/>
      </c>
      <c r="L40" s="24" t="str">
        <f t="shared" si="8"/>
        <v/>
      </c>
      <c r="M40" s="24" t="str">
        <f t="shared" si="9"/>
        <v/>
      </c>
      <c r="N40" s="24" t="str">
        <f t="shared" si="10"/>
        <v/>
      </c>
      <c r="O40" s="24" t="str">
        <f t="shared" si="11"/>
        <v/>
      </c>
      <c r="P40" s="24" t="str">
        <f t="shared" si="12"/>
        <v/>
      </c>
      <c r="Q40" s="24" t="str">
        <f t="shared" si="13"/>
        <v/>
      </c>
      <c r="R40" s="24" t="str">
        <f t="shared" si="14"/>
        <v/>
      </c>
      <c r="S40" s="24" t="str">
        <f t="shared" si="15"/>
        <v/>
      </c>
      <c r="T40" s="24" t="str">
        <f t="shared" si="16"/>
        <v/>
      </c>
      <c r="U40" s="24" t="str">
        <f t="shared" si="17"/>
        <v/>
      </c>
      <c r="V40" s="24" t="str">
        <f t="shared" si="18"/>
        <v/>
      </c>
      <c r="W40" s="24" t="str">
        <f t="shared" si="19"/>
        <v/>
      </c>
      <c r="X40" s="24" t="str">
        <f t="shared" si="20"/>
        <v/>
      </c>
      <c r="Y40" s="24" t="str">
        <f t="shared" si="21"/>
        <v/>
      </c>
      <c r="Z40" s="24" t="str">
        <f t="shared" si="22"/>
        <v/>
      </c>
      <c r="AA40" s="24" t="str">
        <f t="shared" si="23"/>
        <v/>
      </c>
      <c r="AB40" s="24" t="str">
        <f t="shared" si="24"/>
        <v/>
      </c>
      <c r="AC40" s="24" t="str">
        <f t="shared" si="25"/>
        <v/>
      </c>
      <c r="AD40" s="24" t="str">
        <f t="shared" si="26"/>
        <v/>
      </c>
    </row>
    <row r="41">
      <c r="A41" s="26" t="s">
        <v>72</v>
      </c>
      <c r="B41" s="27"/>
      <c r="C41" s="28">
        <v>46129.0</v>
      </c>
      <c r="D41" s="28">
        <v>46129.0</v>
      </c>
      <c r="E41" s="27" t="str">
        <f t="shared" si="1"/>
        <v/>
      </c>
      <c r="F41" s="27" t="str">
        <f t="shared" si="2"/>
        <v/>
      </c>
      <c r="G41" s="27" t="str">
        <f t="shared" si="3"/>
        <v/>
      </c>
      <c r="H41" s="27" t="str">
        <f t="shared" si="4"/>
        <v/>
      </c>
      <c r="I41" s="27" t="str">
        <f t="shared" si="5"/>
        <v/>
      </c>
      <c r="J41" s="27" t="str">
        <f t="shared" si="6"/>
        <v/>
      </c>
      <c r="K41" s="27" t="str">
        <f t="shared" si="7"/>
        <v/>
      </c>
      <c r="L41" s="27" t="str">
        <f t="shared" si="8"/>
        <v/>
      </c>
      <c r="M41" s="27" t="str">
        <f t="shared" si="9"/>
        <v/>
      </c>
      <c r="N41" s="27" t="str">
        <f t="shared" si="10"/>
        <v/>
      </c>
      <c r="O41" s="27" t="str">
        <f t="shared" si="11"/>
        <v/>
      </c>
      <c r="P41" s="27" t="str">
        <f t="shared" si="12"/>
        <v/>
      </c>
      <c r="Q41" s="27" t="str">
        <f t="shared" si="13"/>
        <v/>
      </c>
      <c r="R41" s="27" t="str">
        <f t="shared" si="14"/>
        <v/>
      </c>
      <c r="S41" s="27" t="str">
        <f t="shared" si="15"/>
        <v/>
      </c>
      <c r="T41" s="27" t="str">
        <f t="shared" si="16"/>
        <v/>
      </c>
      <c r="U41" s="27" t="str">
        <f t="shared" si="17"/>
        <v/>
      </c>
      <c r="V41" s="27" t="str">
        <f t="shared" si="18"/>
        <v/>
      </c>
      <c r="W41" s="27" t="str">
        <f t="shared" si="19"/>
        <v/>
      </c>
      <c r="X41" s="27" t="str">
        <f t="shared" si="20"/>
        <v/>
      </c>
      <c r="Y41" s="27" t="str">
        <f t="shared" si="21"/>
        <v/>
      </c>
      <c r="Z41" s="27" t="str">
        <f t="shared" si="22"/>
        <v/>
      </c>
      <c r="AA41" s="27" t="str">
        <f t="shared" si="23"/>
        <v/>
      </c>
      <c r="AB41" s="27" t="str">
        <f t="shared" si="24"/>
        <v/>
      </c>
      <c r="AC41" s="27" t="str">
        <f t="shared" si="25"/>
        <v/>
      </c>
      <c r="AD41" s="27" t="str">
        <f t="shared" si="26"/>
        <v/>
      </c>
    </row>
    <row r="42">
      <c r="A42" s="26" t="s">
        <v>73</v>
      </c>
      <c r="B42" s="27"/>
      <c r="C42" s="28">
        <v>46133.0</v>
      </c>
      <c r="D42" s="28">
        <v>46133.0</v>
      </c>
      <c r="E42" s="27" t="str">
        <f t="shared" si="1"/>
        <v/>
      </c>
      <c r="F42" s="27" t="str">
        <f t="shared" si="2"/>
        <v/>
      </c>
      <c r="G42" s="27" t="str">
        <f t="shared" si="3"/>
        <v/>
      </c>
      <c r="H42" s="27" t="str">
        <f t="shared" si="4"/>
        <v/>
      </c>
      <c r="I42" s="27" t="str">
        <f t="shared" si="5"/>
        <v/>
      </c>
      <c r="J42" s="27" t="str">
        <f t="shared" si="6"/>
        <v/>
      </c>
      <c r="K42" s="27" t="str">
        <f t="shared" si="7"/>
        <v/>
      </c>
      <c r="L42" s="27" t="str">
        <f t="shared" si="8"/>
        <v/>
      </c>
      <c r="M42" s="27" t="str">
        <f t="shared" si="9"/>
        <v/>
      </c>
      <c r="N42" s="27" t="str">
        <f t="shared" si="10"/>
        <v/>
      </c>
      <c r="O42" s="27" t="str">
        <f t="shared" si="11"/>
        <v/>
      </c>
      <c r="P42" s="27" t="str">
        <f t="shared" si="12"/>
        <v/>
      </c>
      <c r="Q42" s="27" t="str">
        <f t="shared" si="13"/>
        <v/>
      </c>
      <c r="R42" s="27" t="str">
        <f t="shared" si="14"/>
        <v/>
      </c>
      <c r="S42" s="27" t="str">
        <f t="shared" si="15"/>
        <v/>
      </c>
      <c r="T42" s="27" t="str">
        <f t="shared" si="16"/>
        <v/>
      </c>
      <c r="U42" s="27" t="str">
        <f t="shared" si="17"/>
        <v/>
      </c>
      <c r="V42" s="27" t="str">
        <f t="shared" si="18"/>
        <v/>
      </c>
      <c r="W42" s="27" t="str">
        <f t="shared" si="19"/>
        <v/>
      </c>
      <c r="X42" s="27" t="str">
        <f t="shared" si="20"/>
        <v/>
      </c>
      <c r="Y42" s="27" t="str">
        <f t="shared" si="21"/>
        <v/>
      </c>
      <c r="Z42" s="27" t="str">
        <f t="shared" si="22"/>
        <v/>
      </c>
      <c r="AA42" s="27" t="str">
        <f t="shared" si="23"/>
        <v/>
      </c>
      <c r="AB42" s="27" t="str">
        <f t="shared" si="24"/>
        <v/>
      </c>
      <c r="AC42" s="27" t="str">
        <f t="shared" si="25"/>
        <v/>
      </c>
      <c r="AD42" s="27" t="str">
        <f t="shared" si="26"/>
        <v/>
      </c>
    </row>
  </sheetData>
  <drawing r:id="rId1"/>
</worksheet>
</file>